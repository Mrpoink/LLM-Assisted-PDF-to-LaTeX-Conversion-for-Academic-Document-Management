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<sst xmlns="http://schemas.openxmlformats.org/spreadsheetml/2006/main" count="1489" uniqueCount="163">
  <si>
    <t>Size (bytes)</t>
  </si>
  <si>
    <t>Pages</t>
  </si>
  <si>
    <t>Gemini Errors</t>
  </si>
  <si>
    <t>Status</t>
  </si>
  <si>
    <t>Comparison Results</t>
  </si>
  <si>
    <t>.tex Files Size</t>
  </si>
  <si>
    <t>.pdf File Sizes</t>
  </si>
  <si>
    <t>Pages in PDF</t>
  </si>
  <si>
    <t>ChatGPT Errors</t>
  </si>
  <si>
    <t>Qwen Errors</t>
  </si>
  <si>
    <t>DeepSeek Errors</t>
  </si>
  <si>
    <t>Grand Totals</t>
  </si>
  <si>
    <t>Max</t>
  </si>
  <si>
    <t>Average # Errors</t>
  </si>
  <si>
    <t>Average</t>
  </si>
  <si>
    <t>Success Rate</t>
  </si>
  <si>
    <t>Min</t>
  </si>
  <si>
    <t>Max # Errors</t>
  </si>
  <si>
    <t>Unscanned(EMNLP)</t>
  </si>
  <si>
    <t>Successes</t>
  </si>
  <si>
    <t>2023_emnlp-main_124.pdf</t>
  </si>
  <si>
    <t>TIMEOUT</t>
  </si>
  <si>
    <t>FAILED</t>
  </si>
  <si>
    <t>SUCCESS</t>
  </si>
  <si>
    <t>2023_emnlp-main_638.pdf</t>
  </si>
  <si>
    <t>2024_emnlp-main_147.pdf</t>
  </si>
  <si>
    <t>2024_emnlp-main_1025.pdf</t>
  </si>
  <si>
    <t>2024_emnlp-main_1026.pdf</t>
  </si>
  <si>
    <t>2024_emnlp-main_1055.pdf</t>
  </si>
  <si>
    <t>2024_emnlp-main_1067.pdf</t>
  </si>
  <si>
    <t>2024_emnlp-main_1069.pdf</t>
  </si>
  <si>
    <t>2024_emnlp-main_1088.pdf</t>
  </si>
  <si>
    <t>2024_emnlp-main_1127.pdf</t>
  </si>
  <si>
    <t>2024_emnlp-main_1156.pdf</t>
  </si>
  <si>
    <t>PrimacyEffectofChatGPT.pdf</t>
  </si>
  <si>
    <t>2024_emnlp-main_156.pdf</t>
  </si>
  <si>
    <t>2024_emnlp-main_228.pdf</t>
  </si>
  <si>
    <t>2024_emnlp-main_260.pdf</t>
  </si>
  <si>
    <t>2024_emnlp-main_293.pdf</t>
  </si>
  <si>
    <t>2024_emnlp-main_302.pdf</t>
  </si>
  <si>
    <t>2024_emnlp-main_324.pdf</t>
  </si>
  <si>
    <t>2024_emnlp-main_336.pdf</t>
  </si>
  <si>
    <t>2024_emnlp-main_339.pdf</t>
  </si>
  <si>
    <t>2024_emnlp-main_362.pdf</t>
  </si>
  <si>
    <t>2024_emnlp-main_431.pdf</t>
  </si>
  <si>
    <t>2024_emnlp-main_445.pdf</t>
  </si>
  <si>
    <t>2024_emnlp-main_508.pdf</t>
  </si>
  <si>
    <t>2024_emnlp-main_524.pdf</t>
  </si>
  <si>
    <t>2024_emnlp-main_553.pdf</t>
  </si>
  <si>
    <t>2024_emnlp-main_614.pdf</t>
  </si>
  <si>
    <t>ERROR</t>
  </si>
  <si>
    <t>2024_emnlp-main_635.pdf</t>
  </si>
  <si>
    <t>2024_emnlp-main_663.pdf</t>
  </si>
  <si>
    <t>2024_emnlp-main_672.pdf</t>
  </si>
  <si>
    <t>2024_emnlp-main_701.pdf</t>
  </si>
  <si>
    <t>2024_emnlp-main_704.pdf</t>
  </si>
  <si>
    <t>2024_emnlp-main_730.pdf</t>
  </si>
  <si>
    <t>2024_emnlp-main_733.pdf</t>
  </si>
  <si>
    <t>2024_emnlp-main_767.pdf</t>
  </si>
  <si>
    <t>2024_emnlp-main_773.pdf</t>
  </si>
  <si>
    <t>2024_emnlp-main_830.pdf</t>
  </si>
  <si>
    <t>2024_emnlp-main_831.pdf</t>
  </si>
  <si>
    <t>FAILURE</t>
  </si>
  <si>
    <t>2024_emnlp-main_869.pdf</t>
  </si>
  <si>
    <t>2024_emnlp-main_882.pdf</t>
  </si>
  <si>
    <t>2024_emnlp-main_888.pdf</t>
  </si>
  <si>
    <t>2024_emnlp-main_915.pdf</t>
  </si>
  <si>
    <t>#######</t>
  </si>
  <si>
    <t>2024_emnlp-main_924.pdf</t>
  </si>
  <si>
    <t>2024_emnlp-main_942.pdf</t>
  </si>
  <si>
    <t>2024_emnlp-main_991.pdf</t>
  </si>
  <si>
    <t>2024_emnlp-main_1022.pdf</t>
  </si>
  <si>
    <t>2024_emnlp-main_238.pdf</t>
  </si>
  <si>
    <t>T5ModelsForAfricanLanguages.pdf</t>
  </si>
  <si>
    <t>2023_emnlp-main_118.pdf</t>
  </si>
  <si>
    <t>EstablishingTrustworthiness.pdf</t>
  </si>
  <si>
    <t>Scanned(EMNLP)</t>
  </si>
  <si>
    <t>-</t>
  </si>
  <si>
    <t>Unscanned(EMNLP) - Long Prompt</t>
  </si>
  <si>
    <t>ChatGPT</t>
  </si>
  <si>
    <t>Qwen</t>
  </si>
  <si>
    <t>Scanned(EMNLP) - Long Prompt</t>
  </si>
  <si>
    <t>CHATGPT-5.2-THINKING</t>
  </si>
  <si>
    <t>UNSCANNED</t>
  </si>
  <si>
    <t>SCANNED</t>
  </si>
  <si>
    <t>CHATGPT-5.2-THINKING (LONG PROMPT)</t>
  </si>
  <si>
    <t>Filename</t>
  </si>
  <si>
    <t>.tex size</t>
  </si>
  <si>
    <t>Misplaced_Items</t>
  </si>
  <si>
    <t>Syntax_Structure</t>
  </si>
  <si>
    <t>Package_Errors</t>
  </si>
  <si>
    <t>Total_Critical_Errors</t>
  </si>
  <si>
    <t>Warnings</t>
  </si>
  <si>
    <t>pdf size</t>
  </si>
  <si>
    <t>pdf pages</t>
  </si>
  <si>
    <t>.tex file size</t>
  </si>
  <si>
    <t>pdf file size</t>
  </si>
  <si>
    <t>2023_emnlp-main_118.tex</t>
  </si>
  <si>
    <t>2023_emnlp-main_124.tex</t>
  </si>
  <si>
    <t>2023_emnlp-main_638.tex</t>
  </si>
  <si>
    <t>2024_emnlp-main_1022.tex</t>
  </si>
  <si>
    <t>2024_emnlp-main_147.tex</t>
  </si>
  <si>
    <t>2024_emnlp-main_1025.tex</t>
  </si>
  <si>
    <t>2024_emnlp-main_156.tex</t>
  </si>
  <si>
    <t>2024_emnlp-main_1055.tex</t>
  </si>
  <si>
    <t>2024_emnlp-main_228.tex</t>
  </si>
  <si>
    <t>2024_emnlp-main_1067.tex</t>
  </si>
  <si>
    <t>2024_emnlp-main_238.tex</t>
  </si>
  <si>
    <t>2024_emnlp-main_1069.tex</t>
  </si>
  <si>
    <t>2024_emnlp-main_260.tex</t>
  </si>
  <si>
    <t>2024_emnlp-main_1088.tex</t>
  </si>
  <si>
    <t>2024_emnlp-main_293.tex</t>
  </si>
  <si>
    <t>##</t>
  </si>
  <si>
    <t>2024_emnlp-main_1127.tex</t>
  </si>
  <si>
    <t>2024_emnlp-main_302.tex</t>
  </si>
  <si>
    <t>2024_emnlp-main_1156.tex</t>
  </si>
  <si>
    <t>2024_emnlp-main_324.tex</t>
  </si>
  <si>
    <t>2024_emnlp-main_336.tex</t>
  </si>
  <si>
    <t>2024_emnlp-main_339.tex</t>
  </si>
  <si>
    <t>2024_emnlp-main_362.tex</t>
  </si>
  <si>
    <t>2024_emnlp-main_431.tex</t>
  </si>
  <si>
    <t>2024_emnlp-main_445.tex</t>
  </si>
  <si>
    <t>2024_emnlp-main_508.tex</t>
  </si>
  <si>
    <t>2024_emnlp-main_524.tex</t>
  </si>
  <si>
    <t>2024_emnlp-main_553.tex</t>
  </si>
  <si>
    <t>2024_emnlp-main_614.tex</t>
  </si>
  <si>
    <t>2024_emnlp-main_635.tex</t>
  </si>
  <si>
    <t>2024_emnlp-main_663.tex</t>
  </si>
  <si>
    <t>2024_emnlp-main_672.tex</t>
  </si>
  <si>
    <t>2024_emnlp-main_701.tex</t>
  </si>
  <si>
    <t>2024_emnlp-main_704.tex</t>
  </si>
  <si>
    <t>2024_emnlp-main_730.tex</t>
  </si>
  <si>
    <t>2024_emnlp-main_942.tex</t>
  </si>
  <si>
    <t>BASE INFORMATION</t>
  </si>
  <si>
    <t>Unscanned</t>
  </si>
  <si>
    <t>Scanned</t>
  </si>
  <si>
    <t>File Name</t>
  </si>
  <si>
    <t>PDF Size</t>
  </si>
  <si>
    <t>PDF Pages</t>
  </si>
  <si>
    <t>2024_emnlp-main_733.tex</t>
  </si>
  <si>
    <t>2024_emnlp-main_767.tex</t>
  </si>
  <si>
    <t>2024_emnlp-main_773.tex</t>
  </si>
  <si>
    <t>2024_emnlp-main_830.tex</t>
  </si>
  <si>
    <t>2024_emnlp-main_831.tex</t>
  </si>
  <si>
    <t>2024_emnlp-main_869.tex</t>
  </si>
  <si>
    <t>2024_emnlp-main_882.tex</t>
  </si>
  <si>
    <t>2024_emnlp-main_888.tex</t>
  </si>
  <si>
    <t>2024_emnlp-main_915.tex</t>
  </si>
  <si>
    <t>2024_emnlp-main_924.tex</t>
  </si>
  <si>
    <t>2024_emnlp-main_991.tex</t>
  </si>
  <si>
    <t>EstablishingTrustworthiness.tex</t>
  </si>
  <si>
    <t>PrimacyEffectOfChatGPT.tex</t>
  </si>
  <si>
    <t>T5ModelsForAfricanLanguages.tex</t>
  </si>
  <si>
    <t>DEEPSEEK</t>
  </si>
  <si>
    <t>2024_emnlp-main_1026.tex</t>
  </si>
  <si>
    <t>GEMINI-PRO-2.5</t>
  </si>
  <si>
    <t>2023_emnlp-main_156.tex</t>
  </si>
  <si>
    <t>2023_emnlp-main_228.tex</t>
  </si>
  <si>
    <t>2023_emnlp-main_238.tex</t>
  </si>
  <si>
    <t>2023_emnlp-main_260.tex</t>
  </si>
  <si>
    <t>2023_emnlp-main147.tex</t>
  </si>
  <si>
    <t>QWEN</t>
  </si>
  <si>
    <t>PrimacyEffectofChatGPT.tex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</si>
</sst>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</font>
    <font>
      <sz val="11.0"/>
      <color rgb="FF000000"/>
      <name val="Arial"/>
    </font>
    <font>
      <b/>
      <sz val="15.0"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2" xfId="0" applyFont="1" applyNumberFormat="1"/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Errors vs Size (DeepSeek)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Sheet1!$AE$6:$AE$63</c:f>
              <c:numCache/>
            </c:numRef>
          </c:val>
          <c:smooth val="0"/>
        </c:ser>
        <c:axId val="681781479"/>
        <c:axId val="1564793522"/>
      </c:lineChart>
      <c:catAx>
        <c:axId val="681781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793522"/>
      </c:catAx>
      <c:valAx>
        <c:axId val="1564793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1781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Errors vs Size (Qwen)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Sheet1!$X$6:$X$63</c:f>
              <c:numCache/>
            </c:numRef>
          </c:val>
          <c:smooth val="0"/>
        </c:ser>
        <c:axId val="43414849"/>
        <c:axId val="1328631998"/>
      </c:lineChart>
      <c:catAx>
        <c:axId val="43414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631998"/>
      </c:catAx>
      <c:valAx>
        <c:axId val="13286319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14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Errors vs Size (ChatGPT)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Sheet1!$Q$6:$Q$63</c:f>
              <c:numCache/>
            </c:numRef>
          </c:val>
          <c:smooth val="0"/>
        </c:ser>
        <c:axId val="1386097136"/>
        <c:axId val="1549542310"/>
      </c:lineChart>
      <c:catAx>
        <c:axId val="1386097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542310"/>
      </c:catAx>
      <c:valAx>
        <c:axId val="1549542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097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Errors vs Size (Gemini)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Sheet1!$E$6:$E$63</c:f>
              <c:numCache/>
            </c:numRef>
          </c:val>
          <c:smooth val="0"/>
        </c:ser>
        <c:axId val="1542503548"/>
        <c:axId val="1266103281"/>
      </c:lineChart>
      <c:catAx>
        <c:axId val="1542503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103281"/>
      </c:catAx>
      <c:valAx>
        <c:axId val="12661032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5035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Errors vs Differences (DeepSeek)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Sheet1!$AG$69:$AG$118</c:f>
            </c:numRef>
          </c:xVal>
          <c:yVal>
            <c:numRef>
              <c:f>Sheet1!$AE$69:$AE$118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745105"/>
        <c:axId val="828742465"/>
      </c:scatterChart>
      <c:valAx>
        <c:axId val="15067451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Differences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742465"/>
      </c:valAx>
      <c:valAx>
        <c:axId val="828742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Errors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67451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Qwen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Sheet1!$Z$69:$Z$118</c:f>
            </c:numRef>
          </c:xVal>
          <c:yVal>
            <c:numRef>
              <c:f>Sheet1!$X$69:$X$118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732080"/>
        <c:axId val="1956437700"/>
      </c:scatterChart>
      <c:valAx>
        <c:axId val="16027320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437700"/>
      </c:valAx>
      <c:valAx>
        <c:axId val="1956437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732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ChatGPT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Sheet1!$S$69:$S$118</c:f>
            </c:numRef>
          </c:xVal>
          <c:yVal>
            <c:numRef>
              <c:f>Sheet1!$Q$69:$Q$118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1732"/>
        <c:axId val="61045518"/>
      </c:scatterChart>
      <c:valAx>
        <c:axId val="108217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045518"/>
      </c:valAx>
      <c:valAx>
        <c:axId val="61045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1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Gemini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Sheet1!$AV$82</c:f>
            </c:numRef>
          </c:xVal>
          <c:yVal>
            <c:numRef>
              <c:f>Sheet1!$L$69:$L$118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20103"/>
        <c:axId val="37721147"/>
      </c:scatterChart>
      <c:valAx>
        <c:axId val="1684201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21147"/>
      </c:valAx>
      <c:valAx>
        <c:axId val="37721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20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38100</xdr:colOff>
      <xdr:row>0</xdr:row>
      <xdr:rowOff>76200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47625</xdr:colOff>
      <xdr:row>17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38100</xdr:colOff>
      <xdr:row>17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28575</xdr:colOff>
      <xdr:row>35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28575</xdr:colOff>
      <xdr:row>35</xdr:row>
      <xdr:rowOff>171450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47625</xdr:colOff>
      <xdr:row>53</xdr:row>
      <xdr:rowOff>190500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47625</xdr:colOff>
      <xdr:row>53</xdr:row>
      <xdr:rowOff>171450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12</xdr:col>
      <xdr:colOff>28575</xdr:colOff>
      <xdr:row>0</xdr:row>
      <xdr:rowOff>152400</xdr:rowOff>
    </xdr:from>
    <xdr:ext cx="5715000" cy="3533775"/>
    <xdr:pic>
      <xdr:nvPicPr>
        <xdr:cNvPr id="777485737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47625</xdr:colOff>
      <xdr:row>18</xdr:row>
      <xdr:rowOff>152400</xdr:rowOff>
    </xdr:from>
    <xdr:ext cx="5715000" cy="3533775"/>
    <xdr:pic>
      <xdr:nvPicPr>
        <xdr:cNvPr id="1572029239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8.13"/>
    <col customWidth="1" min="3" max="3" width="6.38"/>
    <col customWidth="1" min="4" max="4" width="22.13"/>
    <col customWidth="1" min="5" max="10" width="12.25"/>
    <col customWidth="1" min="11" max="11" width="10.5"/>
    <col customWidth="1" min="12" max="16" width="16.38"/>
    <col customWidth="1" min="17" max="17" width="13.5"/>
    <col customWidth="1" min="18" max="18" width="10.25"/>
    <col customWidth="1" min="19" max="23" width="16.13"/>
    <col customWidth="1" min="24" max="24" width="11.5"/>
    <col customWidth="1" min="25" max="25" width="10.38"/>
    <col customWidth="1" min="26" max="30" width="16.38"/>
    <col customWidth="1" min="31" max="31" width="14.88"/>
    <col customWidth="1" min="32" max="32" width="10.63"/>
    <col customWidth="1" min="33" max="37" width="16.5"/>
  </cols>
  <sheetData>
    <row r="1">
      <c r="B1" s="1" t="s">
        <v>0</v>
      </c>
      <c r="C1" s="1" t="s">
        <v>1</v>
      </c>
      <c r="E1" s="1" t="s">
        <v>2</v>
      </c>
      <c r="F1" s="1"/>
      <c r="G1" s="1"/>
      <c r="H1" s="1"/>
      <c r="I1" s="1"/>
      <c r="J1" s="1"/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/>
      <c r="Q1" s="1" t="s">
        <v>8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/>
      <c r="X1" s="1" t="s">
        <v>9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/>
      <c r="AE1" s="1" t="s">
        <v>10</v>
      </c>
      <c r="AF1" s="1" t="s">
        <v>3</v>
      </c>
      <c r="AG1" s="1" t="s">
        <v>4</v>
      </c>
      <c r="AH1" s="1" t="s">
        <v>5</v>
      </c>
      <c r="AI1" s="1" t="s">
        <v>6</v>
      </c>
      <c r="AJ1" s="1" t="s">
        <v>7</v>
      </c>
      <c r="AK1" s="1"/>
      <c r="AL1" s="1" t="s">
        <v>11</v>
      </c>
    </row>
    <row r="2">
      <c r="A2" s="1" t="s">
        <v>12</v>
      </c>
      <c r="B2" s="2">
        <f t="shared" ref="B2:C2" si="1">MAX(B6:B63)</f>
        <v>352638</v>
      </c>
      <c r="C2" s="3">
        <f t="shared" si="1"/>
        <v>22</v>
      </c>
      <c r="D2" s="1" t="s">
        <v>13</v>
      </c>
      <c r="E2" s="3">
        <f>AVERAGE(E6:E63)</f>
        <v>30.96</v>
      </c>
      <c r="Q2" s="3">
        <f>AVERAGE(Q6:Q63)</f>
        <v>117.78</v>
      </c>
      <c r="X2" s="3">
        <f>AVERAGE(X6:X63)</f>
        <v>20.32</v>
      </c>
      <c r="AE2" s="3">
        <f>AVERAGE(AE6:AE63)</f>
        <v>12.74</v>
      </c>
    </row>
    <row r="3">
      <c r="A3" s="1" t="s">
        <v>14</v>
      </c>
      <c r="B3" s="4">
        <f t="shared" ref="B3:C3" si="2">AVERAGE(B6:B63)</f>
        <v>269952.72</v>
      </c>
      <c r="C3" s="5">
        <f t="shared" si="2"/>
        <v>12.82</v>
      </c>
      <c r="D3" s="1" t="s">
        <v>15</v>
      </c>
      <c r="E3" s="3">
        <f>(COUNTIF(K6:K63, "SUCCESS") / 50)</f>
        <v>0.16</v>
      </c>
      <c r="Q3" s="3">
        <f>(COUNTIF(R6:R63, "SUCCESS") / 50)</f>
        <v>0.16</v>
      </c>
      <c r="X3" s="3">
        <f>(COUNTIF(Y6:Y63, "SUCCESS") / 50)</f>
        <v>0.94</v>
      </c>
      <c r="AE3" s="3">
        <f>(COUNTIF(AF6:AF63, "SUCCESS") / 50)</f>
        <v>0.84</v>
      </c>
    </row>
    <row r="4">
      <c r="A4" s="1" t="s">
        <v>16</v>
      </c>
      <c r="B4" s="4">
        <f t="shared" ref="B4:C4" si="3">MIN(B6:B63)</f>
        <v>149354</v>
      </c>
      <c r="C4" s="3">
        <f t="shared" si="3"/>
        <v>7</v>
      </c>
      <c r="D4" s="1" t="s">
        <v>17</v>
      </c>
      <c r="E4" s="3">
        <f>MAX(E6:E63)</f>
        <v>323</v>
      </c>
      <c r="Q4" s="3">
        <f>MAX(Q6:Q63)</f>
        <v>544</v>
      </c>
      <c r="X4" s="3">
        <f>MAX(X6:X63)</f>
        <v>176</v>
      </c>
      <c r="AE4" s="3">
        <f>MAX(AE6:AE63)</f>
        <v>159</v>
      </c>
    </row>
    <row r="5">
      <c r="A5" s="1" t="s">
        <v>18</v>
      </c>
      <c r="AL5" s="1" t="s">
        <v>19</v>
      </c>
    </row>
    <row r="6">
      <c r="A6" s="1" t="s">
        <v>20</v>
      </c>
      <c r="B6" s="2">
        <v>352638.0</v>
      </c>
      <c r="C6" s="1">
        <v>12.0</v>
      </c>
      <c r="E6" s="1">
        <v>2.0</v>
      </c>
      <c r="F6" s="1"/>
      <c r="G6" s="1"/>
      <c r="H6" s="1"/>
      <c r="I6" s="1"/>
      <c r="J6" s="1"/>
      <c r="K6" s="1" t="s">
        <v>21</v>
      </c>
      <c r="L6" s="1"/>
      <c r="M6" s="6">
        <v>10061.0</v>
      </c>
      <c r="N6" s="6"/>
      <c r="O6" s="6"/>
      <c r="P6" s="6"/>
      <c r="Q6" s="1">
        <v>124.0</v>
      </c>
      <c r="R6" s="1" t="s">
        <v>22</v>
      </c>
      <c r="S6" s="1"/>
      <c r="T6" s="6">
        <v>51188.0</v>
      </c>
      <c r="U6" s="6"/>
      <c r="V6" s="6"/>
      <c r="W6" s="6"/>
      <c r="X6" s="1">
        <v>15.0</v>
      </c>
      <c r="Y6" s="1" t="s">
        <v>23</v>
      </c>
      <c r="Z6" s="1">
        <v>1124.0</v>
      </c>
      <c r="AA6" s="6">
        <v>52563.0</v>
      </c>
      <c r="AB6" s="6">
        <v>422350.0</v>
      </c>
      <c r="AC6" s="6">
        <v>17.0</v>
      </c>
      <c r="AD6" s="6"/>
      <c r="AE6" s="1">
        <v>1.0</v>
      </c>
      <c r="AF6" s="1" t="s">
        <v>23</v>
      </c>
      <c r="AG6" s="1">
        <v>913.0</v>
      </c>
      <c r="AH6" s="6">
        <v>46200.0</v>
      </c>
      <c r="AI6" s="6">
        <v>314169.0</v>
      </c>
      <c r="AJ6" s="6">
        <v>10.0</v>
      </c>
      <c r="AK6" s="6"/>
      <c r="AL6" s="3">
        <f t="shared" ref="AL6:AL55" si="4">COUNTIF(E6:AF6, "SUCCESS")</f>
        <v>2</v>
      </c>
    </row>
    <row r="7">
      <c r="A7" s="1" t="s">
        <v>24</v>
      </c>
      <c r="B7" s="2">
        <v>351515.0</v>
      </c>
      <c r="C7" s="1">
        <v>13.0</v>
      </c>
      <c r="E7" s="1">
        <v>40.0</v>
      </c>
      <c r="F7" s="1"/>
      <c r="G7" s="1"/>
      <c r="H7" s="1"/>
      <c r="I7" s="1"/>
      <c r="J7" s="1"/>
      <c r="K7" s="1" t="s">
        <v>21</v>
      </c>
      <c r="L7" s="1"/>
      <c r="M7" s="6">
        <v>49785.0</v>
      </c>
      <c r="N7" s="6"/>
      <c r="O7" s="6"/>
      <c r="P7" s="6"/>
      <c r="Q7" s="1">
        <v>2.0</v>
      </c>
      <c r="R7" s="1" t="s">
        <v>22</v>
      </c>
      <c r="S7" s="1"/>
      <c r="T7" s="6">
        <v>54338.0</v>
      </c>
      <c r="U7" s="6"/>
      <c r="V7" s="6"/>
      <c r="W7" s="6"/>
      <c r="X7" s="1">
        <v>5.0</v>
      </c>
      <c r="Y7" s="1" t="s">
        <v>23</v>
      </c>
      <c r="Z7" s="1">
        <v>1185.0</v>
      </c>
      <c r="AA7" s="6">
        <v>59917.0</v>
      </c>
      <c r="AB7" s="6">
        <v>155263.0</v>
      </c>
      <c r="AC7" s="6">
        <v>13.0</v>
      </c>
      <c r="AD7" s="6"/>
      <c r="AE7" s="1">
        <v>2.0</v>
      </c>
      <c r="AF7" s="1" t="s">
        <v>23</v>
      </c>
      <c r="AG7" s="1">
        <v>1309.0</v>
      </c>
      <c r="AH7" s="6">
        <v>49929.0</v>
      </c>
      <c r="AI7" s="6">
        <v>186146.0</v>
      </c>
      <c r="AJ7" s="6">
        <v>14.0</v>
      </c>
      <c r="AK7" s="6"/>
      <c r="AL7" s="3">
        <f t="shared" si="4"/>
        <v>2</v>
      </c>
    </row>
    <row r="8">
      <c r="A8" s="1" t="s">
        <v>25</v>
      </c>
      <c r="B8" s="2">
        <v>238497.0</v>
      </c>
      <c r="C8" s="1">
        <v>15.0</v>
      </c>
      <c r="E8" s="1">
        <v>103.0</v>
      </c>
      <c r="F8" s="1"/>
      <c r="G8" s="1"/>
      <c r="H8" s="1"/>
      <c r="I8" s="1"/>
      <c r="J8" s="1"/>
      <c r="K8" s="1" t="s">
        <v>22</v>
      </c>
      <c r="L8" s="1"/>
      <c r="M8" s="6">
        <v>34911.0</v>
      </c>
      <c r="N8" s="6"/>
      <c r="O8" s="6"/>
      <c r="P8" s="6"/>
      <c r="Q8" s="1">
        <v>3.0</v>
      </c>
      <c r="R8" s="1" t="s">
        <v>21</v>
      </c>
      <c r="S8" s="1"/>
      <c r="T8" s="6">
        <v>35935.0</v>
      </c>
      <c r="U8" s="6"/>
      <c r="V8" s="6"/>
      <c r="W8" s="6"/>
      <c r="X8" s="1">
        <v>1.0</v>
      </c>
      <c r="Y8" s="1" t="s">
        <v>23</v>
      </c>
      <c r="Z8" s="1">
        <v>1320.0</v>
      </c>
      <c r="AA8" s="6">
        <v>71340.0</v>
      </c>
      <c r="AB8" s="6">
        <v>191837.0</v>
      </c>
      <c r="AC8" s="6">
        <v>16.0</v>
      </c>
      <c r="AD8" s="6"/>
      <c r="AE8" s="1">
        <v>6.0</v>
      </c>
      <c r="AF8" s="1" t="s">
        <v>23</v>
      </c>
      <c r="AG8" s="1">
        <v>1243.0</v>
      </c>
      <c r="AH8" s="6">
        <v>54918.0</v>
      </c>
      <c r="AI8" s="6">
        <v>318750.0</v>
      </c>
      <c r="AJ8" s="6">
        <v>13.0</v>
      </c>
      <c r="AK8" s="6"/>
      <c r="AL8" s="3">
        <f t="shared" si="4"/>
        <v>2</v>
      </c>
    </row>
    <row r="9">
      <c r="A9" s="1" t="s">
        <v>26</v>
      </c>
      <c r="B9" s="2">
        <v>264002.0</v>
      </c>
      <c r="C9" s="1">
        <v>8.0</v>
      </c>
      <c r="E9" s="1">
        <v>4.0</v>
      </c>
      <c r="F9" s="1"/>
      <c r="G9" s="1"/>
      <c r="H9" s="1"/>
      <c r="I9" s="1"/>
      <c r="J9" s="1"/>
      <c r="K9" s="1" t="s">
        <v>22</v>
      </c>
      <c r="L9" s="1"/>
      <c r="M9" s="6">
        <v>31093.0</v>
      </c>
      <c r="N9" s="6"/>
      <c r="O9" s="6"/>
      <c r="P9" s="6"/>
      <c r="Q9" s="1">
        <v>109.0</v>
      </c>
      <c r="R9" s="1" t="s">
        <v>22</v>
      </c>
      <c r="S9" s="1"/>
      <c r="T9" s="6">
        <v>40224.0</v>
      </c>
      <c r="U9" s="6"/>
      <c r="V9" s="6"/>
      <c r="W9" s="6"/>
      <c r="X9" s="1">
        <v>6.0</v>
      </c>
      <c r="Y9" s="1" t="s">
        <v>23</v>
      </c>
      <c r="Z9" s="1">
        <v>904.0</v>
      </c>
      <c r="AA9" s="6">
        <v>41251.0</v>
      </c>
      <c r="AB9" s="6">
        <v>185773.0</v>
      </c>
      <c r="AC9" s="6">
        <v>8.0</v>
      </c>
      <c r="AD9" s="6"/>
      <c r="AE9" s="1">
        <v>4.0</v>
      </c>
      <c r="AF9" s="1" t="s">
        <v>23</v>
      </c>
      <c r="AG9" s="1">
        <v>868.0</v>
      </c>
      <c r="AH9" s="6">
        <v>38258.0</v>
      </c>
      <c r="AI9" s="6">
        <v>288783.0</v>
      </c>
      <c r="AJ9" s="6">
        <v>9.0</v>
      </c>
      <c r="AK9" s="6"/>
      <c r="AL9" s="3">
        <f t="shared" si="4"/>
        <v>2</v>
      </c>
    </row>
    <row r="10">
      <c r="A10" s="1" t="s">
        <v>27</v>
      </c>
      <c r="B10" s="2">
        <v>176463.0</v>
      </c>
      <c r="C10" s="1">
        <v>13.0</v>
      </c>
      <c r="E10" s="1">
        <v>2.0</v>
      </c>
      <c r="F10" s="1"/>
      <c r="G10" s="1"/>
      <c r="H10" s="1"/>
      <c r="I10" s="1"/>
      <c r="J10" s="1"/>
      <c r="K10" s="1" t="s">
        <v>21</v>
      </c>
      <c r="L10" s="1"/>
      <c r="M10" s="6">
        <v>32724.0</v>
      </c>
      <c r="N10" s="6"/>
      <c r="O10" s="6"/>
      <c r="P10" s="6"/>
      <c r="Q10" s="1">
        <v>2.0</v>
      </c>
      <c r="R10" s="1" t="s">
        <v>22</v>
      </c>
      <c r="S10" s="1"/>
      <c r="T10" s="6">
        <v>64533.0</v>
      </c>
      <c r="U10" s="6"/>
      <c r="V10" s="6"/>
      <c r="W10" s="6"/>
      <c r="X10" s="1">
        <v>8.0</v>
      </c>
      <c r="Y10" s="1" t="s">
        <v>23</v>
      </c>
      <c r="Z10" s="1">
        <v>989.0</v>
      </c>
      <c r="AA10" s="6">
        <v>61417.0</v>
      </c>
      <c r="AB10" s="6">
        <v>149364.0</v>
      </c>
      <c r="AC10" s="6">
        <v>11.0</v>
      </c>
      <c r="AD10" s="6"/>
      <c r="AE10" s="1">
        <v>1.0</v>
      </c>
      <c r="AF10" s="1" t="s">
        <v>23</v>
      </c>
      <c r="AG10" s="1">
        <v>1031.0</v>
      </c>
      <c r="AH10" s="6">
        <v>59190.0</v>
      </c>
      <c r="AI10" s="6">
        <v>253487.0</v>
      </c>
      <c r="AJ10" s="6">
        <v>15.0</v>
      </c>
      <c r="AK10" s="6"/>
      <c r="AL10" s="3">
        <f t="shared" si="4"/>
        <v>2</v>
      </c>
    </row>
    <row r="11">
      <c r="A11" s="1" t="s">
        <v>28</v>
      </c>
      <c r="B11" s="2">
        <v>267281.0</v>
      </c>
      <c r="C11" s="1">
        <v>16.0</v>
      </c>
      <c r="E11" s="1">
        <v>4.0</v>
      </c>
      <c r="F11" s="1"/>
      <c r="G11" s="1"/>
      <c r="H11" s="1"/>
      <c r="I11" s="1"/>
      <c r="J11" s="1"/>
      <c r="K11" s="1" t="s">
        <v>22</v>
      </c>
      <c r="L11" s="1"/>
      <c r="M11" s="6">
        <v>23271.0</v>
      </c>
      <c r="N11" s="6"/>
      <c r="O11" s="6"/>
      <c r="P11" s="6"/>
      <c r="Q11" s="1">
        <v>110.0</v>
      </c>
      <c r="R11" s="1" t="s">
        <v>22</v>
      </c>
      <c r="S11" s="1"/>
      <c r="T11" s="6">
        <v>64564.0</v>
      </c>
      <c r="U11" s="6"/>
      <c r="V11" s="6"/>
      <c r="W11" s="6"/>
      <c r="X11" s="1">
        <v>59.0</v>
      </c>
      <c r="Y11" s="1" t="s">
        <v>23</v>
      </c>
      <c r="Z11" s="1">
        <v>862.0</v>
      </c>
      <c r="AA11" s="6">
        <v>72202.0</v>
      </c>
      <c r="AB11" s="6">
        <v>215155.0</v>
      </c>
      <c r="AC11" s="6">
        <v>18.0</v>
      </c>
      <c r="AD11" s="6"/>
      <c r="AE11" s="1">
        <v>4.0</v>
      </c>
      <c r="AF11" s="1" t="s">
        <v>21</v>
      </c>
      <c r="AG11" s="1"/>
      <c r="AH11" s="6">
        <v>67155.0</v>
      </c>
      <c r="AI11" s="6"/>
      <c r="AJ11" s="6"/>
      <c r="AK11" s="6"/>
      <c r="AL11" s="3">
        <f t="shared" si="4"/>
        <v>1</v>
      </c>
    </row>
    <row r="12">
      <c r="A12" s="1" t="s">
        <v>29</v>
      </c>
      <c r="B12" s="2">
        <v>352088.0</v>
      </c>
      <c r="C12" s="1">
        <v>14.0</v>
      </c>
      <c r="E12" s="1">
        <v>23.0</v>
      </c>
      <c r="F12" s="1"/>
      <c r="G12" s="1"/>
      <c r="H12" s="1"/>
      <c r="I12" s="1"/>
      <c r="J12" s="1"/>
      <c r="K12" s="1" t="s">
        <v>21</v>
      </c>
      <c r="L12" s="1"/>
      <c r="M12" s="6">
        <v>40273.0</v>
      </c>
      <c r="N12" s="6"/>
      <c r="O12" s="6"/>
      <c r="P12" s="6"/>
      <c r="Q12" s="1">
        <v>121.0</v>
      </c>
      <c r="R12" s="1" t="s">
        <v>22</v>
      </c>
      <c r="S12" s="1"/>
      <c r="T12" s="6">
        <v>81946.0</v>
      </c>
      <c r="U12" s="6"/>
      <c r="V12" s="6"/>
      <c r="W12" s="6"/>
      <c r="X12" s="1">
        <v>1.0</v>
      </c>
      <c r="Y12" s="1" t="s">
        <v>23</v>
      </c>
      <c r="Z12" s="1">
        <v>1140.0</v>
      </c>
      <c r="AA12" s="6">
        <v>64934.0</v>
      </c>
      <c r="AB12" s="6">
        <v>173114.0</v>
      </c>
      <c r="AC12" s="6">
        <v>19.0</v>
      </c>
      <c r="AD12" s="6"/>
      <c r="AE12" s="1">
        <v>1.0</v>
      </c>
      <c r="AF12" s="1" t="s">
        <v>23</v>
      </c>
      <c r="AG12" s="1">
        <v>1361.0</v>
      </c>
      <c r="AH12" s="6">
        <v>60458.0</v>
      </c>
      <c r="AI12" s="6">
        <v>189031.0</v>
      </c>
      <c r="AJ12" s="6">
        <v>15.0</v>
      </c>
      <c r="AK12" s="6"/>
      <c r="AL12" s="3">
        <f t="shared" si="4"/>
        <v>2</v>
      </c>
    </row>
    <row r="13">
      <c r="A13" s="1" t="s">
        <v>30</v>
      </c>
      <c r="B13" s="2">
        <v>305469.0</v>
      </c>
      <c r="C13" s="1">
        <v>18.0</v>
      </c>
      <c r="E13" s="1">
        <v>2.0</v>
      </c>
      <c r="F13" s="1"/>
      <c r="G13" s="1"/>
      <c r="H13" s="1"/>
      <c r="I13" s="1"/>
      <c r="J13" s="1"/>
      <c r="K13" s="1" t="s">
        <v>21</v>
      </c>
      <c r="L13" s="1"/>
      <c r="M13" s="6">
        <v>60055.0</v>
      </c>
      <c r="N13" s="6"/>
      <c r="O13" s="6"/>
      <c r="P13" s="6"/>
      <c r="Q13" s="1">
        <v>4.0</v>
      </c>
      <c r="R13" s="1" t="s">
        <v>21</v>
      </c>
      <c r="S13" s="1"/>
      <c r="T13" s="6">
        <v>58362.0</v>
      </c>
      <c r="U13" s="6"/>
      <c r="V13" s="6"/>
      <c r="W13" s="6"/>
      <c r="X13" s="1">
        <v>90.0</v>
      </c>
      <c r="Y13" s="1" t="s">
        <v>23</v>
      </c>
      <c r="Z13" s="1">
        <v>1021.0</v>
      </c>
      <c r="AA13" s="6">
        <v>90318.0</v>
      </c>
      <c r="AB13" s="6">
        <v>157747.0</v>
      </c>
      <c r="AC13" s="6">
        <v>25.0</v>
      </c>
      <c r="AD13" s="6"/>
      <c r="AE13" s="1">
        <v>1.0</v>
      </c>
      <c r="AF13" s="1" t="s">
        <v>23</v>
      </c>
      <c r="AG13" s="1">
        <v>1197.0</v>
      </c>
      <c r="AH13" s="6">
        <v>84061.0</v>
      </c>
      <c r="AI13" s="6">
        <v>352840.0</v>
      </c>
      <c r="AJ13" s="6">
        <v>15.0</v>
      </c>
      <c r="AK13" s="6"/>
      <c r="AL13" s="3">
        <f t="shared" si="4"/>
        <v>2</v>
      </c>
    </row>
    <row r="14">
      <c r="A14" s="1" t="s">
        <v>31</v>
      </c>
      <c r="B14" s="2">
        <v>246522.0</v>
      </c>
      <c r="C14" s="1">
        <v>11.0</v>
      </c>
      <c r="E14" s="1">
        <v>113.0</v>
      </c>
      <c r="F14" s="1"/>
      <c r="G14" s="1"/>
      <c r="H14" s="1"/>
      <c r="I14" s="1"/>
      <c r="J14" s="1"/>
      <c r="K14" s="1" t="s">
        <v>22</v>
      </c>
      <c r="L14" s="1"/>
      <c r="M14" s="6">
        <v>37753.0</v>
      </c>
      <c r="N14" s="6"/>
      <c r="O14" s="6"/>
      <c r="P14" s="6"/>
      <c r="Q14" s="1">
        <v>110.0</v>
      </c>
      <c r="R14" s="1" t="s">
        <v>22</v>
      </c>
      <c r="S14" s="1"/>
      <c r="T14" s="6">
        <v>44898.0</v>
      </c>
      <c r="U14" s="6"/>
      <c r="V14" s="6"/>
      <c r="W14" s="6"/>
      <c r="X14" s="1">
        <v>11.0</v>
      </c>
      <c r="Y14" s="1" t="s">
        <v>23</v>
      </c>
      <c r="Z14" s="1">
        <v>1328.0</v>
      </c>
      <c r="AA14" s="6">
        <v>57164.0</v>
      </c>
      <c r="AB14" s="6">
        <v>133271.0</v>
      </c>
      <c r="AC14" s="6">
        <v>13.0</v>
      </c>
      <c r="AD14" s="6"/>
      <c r="AE14" s="1">
        <v>27.0</v>
      </c>
      <c r="AF14" s="1" t="s">
        <v>23</v>
      </c>
      <c r="AG14" s="1">
        <v>1310.0</v>
      </c>
      <c r="AH14" s="6">
        <v>55361.0</v>
      </c>
      <c r="AI14" s="6">
        <v>220323.0</v>
      </c>
      <c r="AJ14" s="6">
        <v>13.0</v>
      </c>
      <c r="AK14" s="6"/>
      <c r="AL14" s="3">
        <f t="shared" si="4"/>
        <v>2</v>
      </c>
    </row>
    <row r="15">
      <c r="A15" s="1" t="s">
        <v>32</v>
      </c>
      <c r="B15" s="2">
        <v>243017.0</v>
      </c>
      <c r="C15" s="1">
        <v>13.0</v>
      </c>
      <c r="E15" s="1">
        <v>131.0</v>
      </c>
      <c r="F15" s="1"/>
      <c r="G15" s="1"/>
      <c r="H15" s="1"/>
      <c r="I15" s="1"/>
      <c r="J15" s="1"/>
      <c r="K15" s="1" t="s">
        <v>22</v>
      </c>
      <c r="L15" s="1"/>
      <c r="M15" s="6">
        <v>41185.0</v>
      </c>
      <c r="N15" s="6"/>
      <c r="O15" s="6"/>
      <c r="P15" s="6"/>
      <c r="Q15" s="1">
        <v>185.0</v>
      </c>
      <c r="R15" s="1" t="s">
        <v>22</v>
      </c>
      <c r="S15" s="1"/>
      <c r="T15" s="6">
        <v>68246.0</v>
      </c>
      <c r="U15" s="6"/>
      <c r="V15" s="6"/>
      <c r="W15" s="6"/>
      <c r="X15" s="1">
        <v>9.0</v>
      </c>
      <c r="Y15" s="1" t="s">
        <v>23</v>
      </c>
      <c r="Z15" s="1">
        <v>544.0</v>
      </c>
      <c r="AA15" s="6">
        <v>46521.0</v>
      </c>
      <c r="AB15" s="6">
        <v>151918.0</v>
      </c>
      <c r="AC15" s="6">
        <v>14.0</v>
      </c>
      <c r="AD15" s="6"/>
      <c r="AE15" s="1">
        <v>1.0</v>
      </c>
      <c r="AF15" s="1" t="s">
        <v>23</v>
      </c>
      <c r="AG15" s="1">
        <v>562.0</v>
      </c>
      <c r="AH15" s="6">
        <v>30087.0</v>
      </c>
      <c r="AI15" s="6">
        <v>225008.0</v>
      </c>
      <c r="AJ15" s="6">
        <v>10.0</v>
      </c>
      <c r="AK15" s="6"/>
      <c r="AL15" s="3">
        <f t="shared" si="4"/>
        <v>2</v>
      </c>
    </row>
    <row r="16" ht="21.0" customHeight="1">
      <c r="A16" s="1" t="s">
        <v>33</v>
      </c>
      <c r="B16" s="2">
        <v>263179.0</v>
      </c>
      <c r="C16" s="1">
        <v>14.0</v>
      </c>
      <c r="E16" s="1">
        <v>4.0</v>
      </c>
      <c r="F16" s="1"/>
      <c r="G16" s="1"/>
      <c r="H16" s="1"/>
      <c r="I16" s="1"/>
      <c r="J16" s="1"/>
      <c r="K16" s="1" t="s">
        <v>22</v>
      </c>
      <c r="L16" s="1"/>
      <c r="M16" s="6">
        <v>34691.0</v>
      </c>
      <c r="N16" s="6"/>
      <c r="O16" s="6"/>
      <c r="P16" s="6"/>
      <c r="Q16" s="1">
        <v>4.0</v>
      </c>
      <c r="R16" s="1" t="s">
        <v>21</v>
      </c>
      <c r="S16" s="1"/>
      <c r="T16" s="6">
        <v>55683.0</v>
      </c>
      <c r="U16" s="6"/>
      <c r="V16" s="6"/>
      <c r="W16" s="6"/>
      <c r="X16" s="1">
        <v>4.0</v>
      </c>
      <c r="Y16" s="1" t="s">
        <v>23</v>
      </c>
      <c r="Z16" s="1">
        <v>1521.0</v>
      </c>
      <c r="AA16" s="6">
        <v>68151.0</v>
      </c>
      <c r="AB16" s="6">
        <v>182956.0</v>
      </c>
      <c r="AC16" s="6">
        <v>19.0</v>
      </c>
      <c r="AD16" s="6"/>
      <c r="AE16" s="1">
        <v>8.0</v>
      </c>
      <c r="AF16" s="1" t="s">
        <v>23</v>
      </c>
      <c r="AG16" s="1">
        <v>1456.0</v>
      </c>
      <c r="AH16" s="6">
        <v>61750.0</v>
      </c>
      <c r="AI16" s="6">
        <v>248086.0</v>
      </c>
      <c r="AJ16" s="6">
        <v>15.0</v>
      </c>
      <c r="AK16" s="6"/>
      <c r="AL16" s="3">
        <f t="shared" si="4"/>
        <v>2</v>
      </c>
    </row>
    <row r="17">
      <c r="A17" s="1" t="s">
        <v>34</v>
      </c>
      <c r="B17" s="2">
        <v>300281.0</v>
      </c>
      <c r="C17" s="1">
        <v>8.0</v>
      </c>
      <c r="E17" s="1">
        <v>6.0</v>
      </c>
      <c r="F17" s="1"/>
      <c r="G17" s="1"/>
      <c r="H17" s="1"/>
      <c r="I17" s="1"/>
      <c r="J17" s="1"/>
      <c r="K17" s="1" t="s">
        <v>21</v>
      </c>
      <c r="L17" s="1"/>
      <c r="M17" s="6">
        <v>34735.0</v>
      </c>
      <c r="N17" s="6"/>
      <c r="O17" s="6"/>
      <c r="P17" s="6"/>
      <c r="Q17" s="7">
        <v>2.0</v>
      </c>
      <c r="R17" s="8" t="s">
        <v>21</v>
      </c>
      <c r="S17" s="8"/>
      <c r="T17" s="6">
        <v>51224.0</v>
      </c>
      <c r="U17" s="6"/>
      <c r="V17" s="6"/>
      <c r="W17" s="6"/>
      <c r="X17" s="7">
        <v>1.0</v>
      </c>
      <c r="Y17" s="1" t="s">
        <v>23</v>
      </c>
      <c r="Z17" s="1">
        <v>696.0</v>
      </c>
      <c r="AA17" s="6">
        <v>34191.0</v>
      </c>
      <c r="AB17" s="6">
        <v>121779.0</v>
      </c>
      <c r="AC17" s="6">
        <v>8.0</v>
      </c>
      <c r="AD17" s="6"/>
      <c r="AE17" s="7">
        <v>1.0</v>
      </c>
      <c r="AF17" s="1" t="s">
        <v>23</v>
      </c>
      <c r="AG17" s="1">
        <v>758.0</v>
      </c>
      <c r="AH17" s="6">
        <v>33775.0</v>
      </c>
      <c r="AI17" s="6">
        <v>233670.0</v>
      </c>
      <c r="AJ17" s="6">
        <v>13.0</v>
      </c>
      <c r="AK17" s="6"/>
      <c r="AL17" s="3">
        <f t="shared" si="4"/>
        <v>2</v>
      </c>
    </row>
    <row r="18">
      <c r="A18" s="1" t="s">
        <v>35</v>
      </c>
      <c r="B18" s="2">
        <v>297456.0</v>
      </c>
      <c r="C18" s="1">
        <v>13.0</v>
      </c>
      <c r="E18" s="1">
        <v>5.0</v>
      </c>
      <c r="F18" s="1"/>
      <c r="G18" s="1"/>
      <c r="H18" s="1"/>
      <c r="I18" s="1"/>
      <c r="J18" s="1"/>
      <c r="K18" s="1" t="s">
        <v>22</v>
      </c>
      <c r="L18" s="1"/>
      <c r="M18" s="6">
        <v>29075.0</v>
      </c>
      <c r="N18" s="6"/>
      <c r="O18" s="6"/>
      <c r="P18" s="6"/>
      <c r="Q18" s="1">
        <v>103.0</v>
      </c>
      <c r="R18" s="1" t="s">
        <v>22</v>
      </c>
      <c r="S18" s="1"/>
      <c r="T18" s="6">
        <v>63339.0</v>
      </c>
      <c r="U18" s="6"/>
      <c r="V18" s="6"/>
      <c r="W18" s="6"/>
      <c r="X18" s="1">
        <v>1.0</v>
      </c>
      <c r="Y18" s="1" t="s">
        <v>23</v>
      </c>
      <c r="Z18" s="1">
        <v>179.0</v>
      </c>
      <c r="AA18" s="6">
        <v>75188.0</v>
      </c>
      <c r="AB18" s="6">
        <v>54243.0</v>
      </c>
      <c r="AC18" s="6">
        <v>3.0</v>
      </c>
      <c r="AD18" s="6"/>
      <c r="AE18" s="1">
        <v>5.0</v>
      </c>
      <c r="AF18" s="1" t="s">
        <v>23</v>
      </c>
      <c r="AG18" s="1">
        <v>1239.0</v>
      </c>
      <c r="AH18" s="6">
        <v>60309.0</v>
      </c>
      <c r="AI18" s="6">
        <v>288163.0</v>
      </c>
      <c r="AJ18" s="6">
        <v>16.0</v>
      </c>
      <c r="AK18" s="6"/>
      <c r="AL18" s="3">
        <f t="shared" si="4"/>
        <v>2</v>
      </c>
    </row>
    <row r="19">
      <c r="A19" s="1" t="s">
        <v>36</v>
      </c>
      <c r="B19" s="2">
        <v>269941.0</v>
      </c>
      <c r="C19" s="1">
        <v>9.0</v>
      </c>
      <c r="E19" s="1">
        <v>149.0</v>
      </c>
      <c r="F19" s="1"/>
      <c r="G19" s="1"/>
      <c r="H19" s="1"/>
      <c r="I19" s="1"/>
      <c r="J19" s="1"/>
      <c r="K19" s="1" t="s">
        <v>22</v>
      </c>
      <c r="L19" s="1"/>
      <c r="M19" s="6">
        <v>36916.0</v>
      </c>
      <c r="N19" s="6"/>
      <c r="O19" s="6"/>
      <c r="P19" s="6"/>
      <c r="Q19" s="1">
        <v>5.0</v>
      </c>
      <c r="R19" s="1" t="s">
        <v>22</v>
      </c>
      <c r="S19" s="1"/>
      <c r="T19" s="6">
        <v>39541.0</v>
      </c>
      <c r="U19" s="6"/>
      <c r="V19" s="6"/>
      <c r="W19" s="6"/>
      <c r="X19" s="1">
        <v>3.0</v>
      </c>
      <c r="Y19" s="1" t="s">
        <v>23</v>
      </c>
      <c r="Z19" s="1">
        <v>907.0</v>
      </c>
      <c r="AA19" s="6">
        <v>41582.0</v>
      </c>
      <c r="AB19" s="6">
        <v>162320.0</v>
      </c>
      <c r="AC19" s="6">
        <v>8.0</v>
      </c>
      <c r="AD19" s="6"/>
      <c r="AE19" s="1">
        <v>4.0</v>
      </c>
      <c r="AF19" s="1" t="s">
        <v>23</v>
      </c>
      <c r="AG19" s="1">
        <v>906.0</v>
      </c>
      <c r="AH19" s="6">
        <v>38944.0</v>
      </c>
      <c r="AI19" s="6">
        <v>189872.0</v>
      </c>
      <c r="AJ19" s="6">
        <v>14.0</v>
      </c>
      <c r="AK19" s="6"/>
      <c r="AL19" s="3">
        <f t="shared" si="4"/>
        <v>2</v>
      </c>
    </row>
    <row r="20">
      <c r="A20" s="1" t="s">
        <v>37</v>
      </c>
      <c r="B20" s="2">
        <v>313811.0</v>
      </c>
      <c r="C20" s="1">
        <v>14.0</v>
      </c>
      <c r="E20" s="1">
        <v>4.0</v>
      </c>
      <c r="F20" s="1"/>
      <c r="G20" s="1"/>
      <c r="H20" s="1"/>
      <c r="I20" s="1"/>
      <c r="J20" s="1"/>
      <c r="K20" s="1" t="s">
        <v>22</v>
      </c>
      <c r="L20" s="1"/>
      <c r="M20" s="6">
        <v>39365.0</v>
      </c>
      <c r="N20" s="6"/>
      <c r="O20" s="6"/>
      <c r="P20" s="6"/>
      <c r="Q20" s="1">
        <v>4.0</v>
      </c>
      <c r="R20" s="1" t="s">
        <v>22</v>
      </c>
      <c r="S20" s="1"/>
      <c r="T20" s="6">
        <v>65423.0</v>
      </c>
      <c r="U20" s="6"/>
      <c r="V20" s="6"/>
      <c r="W20" s="6"/>
      <c r="X20" s="1">
        <v>12.0</v>
      </c>
      <c r="Y20" s="1" t="s">
        <v>23</v>
      </c>
      <c r="Z20" s="1">
        <v>1058.0</v>
      </c>
      <c r="AA20" s="6">
        <v>65573.0</v>
      </c>
      <c r="AB20" s="6">
        <v>184643.0</v>
      </c>
      <c r="AC20" s="6">
        <v>19.0</v>
      </c>
      <c r="AD20" s="6"/>
      <c r="AE20" s="1">
        <v>21.0</v>
      </c>
      <c r="AF20" s="1" t="s">
        <v>23</v>
      </c>
      <c r="AG20" s="1">
        <v>1021.0</v>
      </c>
      <c r="AH20" s="6">
        <v>63888.0</v>
      </c>
      <c r="AI20" s="6">
        <v>199751.0</v>
      </c>
      <c r="AJ20" s="6">
        <v>16.0</v>
      </c>
      <c r="AK20" s="6"/>
      <c r="AL20" s="3">
        <f t="shared" si="4"/>
        <v>2</v>
      </c>
    </row>
    <row r="21">
      <c r="A21" s="1" t="s">
        <v>38</v>
      </c>
      <c r="B21" s="2">
        <v>184941.0</v>
      </c>
      <c r="C21" s="1">
        <v>11.0</v>
      </c>
      <c r="E21" s="1">
        <v>1.0</v>
      </c>
      <c r="F21" s="1"/>
      <c r="G21" s="1"/>
      <c r="H21" s="1"/>
      <c r="I21" s="1"/>
      <c r="J21" s="1"/>
      <c r="K21" s="1" t="s">
        <v>23</v>
      </c>
      <c r="L21" s="1">
        <v>1243.0</v>
      </c>
      <c r="M21" s="6">
        <v>52729.0</v>
      </c>
      <c r="N21" s="6">
        <v>71763.0</v>
      </c>
      <c r="O21" s="6">
        <v>5.0</v>
      </c>
      <c r="P21" s="6"/>
      <c r="Q21" s="1">
        <v>11.0</v>
      </c>
      <c r="R21" s="1" t="s">
        <v>23</v>
      </c>
      <c r="S21" s="1">
        <v>771.0</v>
      </c>
      <c r="T21" s="6">
        <v>57175.0</v>
      </c>
      <c r="U21" s="6">
        <v>388354.0</v>
      </c>
      <c r="V21" s="6">
        <v>15.0</v>
      </c>
      <c r="W21" s="6"/>
      <c r="X21" s="1">
        <v>1.0</v>
      </c>
      <c r="Y21" s="1" t="s">
        <v>23</v>
      </c>
      <c r="Z21" s="1">
        <v>1140.0</v>
      </c>
      <c r="AA21" s="6">
        <v>58752.0</v>
      </c>
      <c r="AB21" s="6">
        <v>158193.0</v>
      </c>
      <c r="AC21" s="6">
        <v>11.0</v>
      </c>
      <c r="AD21" s="6"/>
      <c r="AE21" s="1">
        <v>1.0</v>
      </c>
      <c r="AF21" s="1" t="s">
        <v>23</v>
      </c>
      <c r="AG21" s="1">
        <v>1219.0</v>
      </c>
      <c r="AH21" s="6">
        <v>53578.0</v>
      </c>
      <c r="AI21" s="6">
        <v>134930.0</v>
      </c>
      <c r="AJ21" s="6">
        <v>8.0</v>
      </c>
      <c r="AK21" s="6"/>
      <c r="AL21" s="3">
        <f t="shared" si="4"/>
        <v>4</v>
      </c>
    </row>
    <row r="22">
      <c r="A22" s="1" t="s">
        <v>39</v>
      </c>
      <c r="B22" s="2">
        <v>249619.0</v>
      </c>
      <c r="C22" s="1">
        <v>9.0</v>
      </c>
      <c r="E22" s="1">
        <v>6.0</v>
      </c>
      <c r="F22" s="1"/>
      <c r="G22" s="1"/>
      <c r="H22" s="1"/>
      <c r="I22" s="1"/>
      <c r="J22" s="1"/>
      <c r="K22" s="1" t="s">
        <v>21</v>
      </c>
      <c r="L22" s="1"/>
      <c r="M22" s="6">
        <v>32891.0</v>
      </c>
      <c r="N22" s="6"/>
      <c r="O22" s="6"/>
      <c r="P22" s="6"/>
      <c r="Q22" s="1">
        <v>270.0</v>
      </c>
      <c r="R22" s="1" t="s">
        <v>21</v>
      </c>
      <c r="S22" s="1"/>
      <c r="T22" s="6">
        <v>35762.0</v>
      </c>
      <c r="U22" s="6"/>
      <c r="V22" s="6"/>
      <c r="W22" s="6"/>
      <c r="X22" s="1">
        <v>1.0</v>
      </c>
      <c r="Y22" s="1" t="s">
        <v>23</v>
      </c>
      <c r="Z22" s="1">
        <v>878.0</v>
      </c>
      <c r="AA22" s="6">
        <v>38321.0</v>
      </c>
      <c r="AB22" s="6">
        <v>141512.0</v>
      </c>
      <c r="AC22" s="6">
        <v>13.0</v>
      </c>
      <c r="AD22" s="6"/>
      <c r="AE22" s="1">
        <v>5.0</v>
      </c>
      <c r="AF22" s="1" t="s">
        <v>23</v>
      </c>
      <c r="AG22" s="1">
        <v>908.0</v>
      </c>
      <c r="AH22" s="6">
        <v>34823.0</v>
      </c>
      <c r="AI22" s="6">
        <v>196181.0</v>
      </c>
      <c r="AJ22" s="6">
        <v>12.0</v>
      </c>
      <c r="AK22" s="6"/>
      <c r="AL22" s="3">
        <f t="shared" si="4"/>
        <v>2</v>
      </c>
    </row>
    <row r="23">
      <c r="A23" s="1" t="s">
        <v>40</v>
      </c>
      <c r="B23" s="2">
        <v>222480.0</v>
      </c>
      <c r="C23" s="1">
        <v>10.0</v>
      </c>
      <c r="E23" s="1">
        <v>323.0</v>
      </c>
      <c r="F23" s="1"/>
      <c r="G23" s="1"/>
      <c r="H23" s="1"/>
      <c r="I23" s="1"/>
      <c r="J23" s="1"/>
      <c r="K23" s="1" t="s">
        <v>21</v>
      </c>
      <c r="L23" s="1"/>
      <c r="M23" s="6">
        <v>44830.0</v>
      </c>
      <c r="N23" s="6"/>
      <c r="O23" s="6"/>
      <c r="P23" s="6"/>
      <c r="Q23" s="1">
        <v>217.0</v>
      </c>
      <c r="R23" s="1" t="s">
        <v>22</v>
      </c>
      <c r="S23" s="1"/>
      <c r="T23" s="6">
        <v>46794.0</v>
      </c>
      <c r="U23" s="6"/>
      <c r="V23" s="6"/>
      <c r="W23" s="6"/>
      <c r="X23" s="1">
        <v>18.0</v>
      </c>
      <c r="Y23" s="1" t="s">
        <v>23</v>
      </c>
      <c r="Z23" s="1">
        <v>654.0</v>
      </c>
      <c r="AA23" s="6">
        <v>45768.0</v>
      </c>
      <c r="AB23" s="6">
        <v>177083.0</v>
      </c>
      <c r="AC23" s="6">
        <v>9.0</v>
      </c>
      <c r="AD23" s="6"/>
      <c r="AE23" s="1">
        <v>1.0</v>
      </c>
      <c r="AF23" s="1" t="s">
        <v>23</v>
      </c>
      <c r="AG23" s="1">
        <v>1278.0</v>
      </c>
      <c r="AH23" s="6">
        <v>47230.0</v>
      </c>
      <c r="AI23" s="6">
        <v>178464.0</v>
      </c>
      <c r="AJ23" s="6">
        <v>8.0</v>
      </c>
      <c r="AK23" s="6"/>
      <c r="AL23" s="3">
        <f t="shared" si="4"/>
        <v>2</v>
      </c>
    </row>
    <row r="24">
      <c r="A24" s="1" t="s">
        <v>41</v>
      </c>
      <c r="B24" s="2">
        <v>296397.0</v>
      </c>
      <c r="C24" s="1">
        <v>13.0</v>
      </c>
      <c r="E24" s="1">
        <v>8.0</v>
      </c>
      <c r="F24" s="1"/>
      <c r="G24" s="1"/>
      <c r="H24" s="1"/>
      <c r="I24" s="1"/>
      <c r="J24" s="1"/>
      <c r="K24" s="1" t="s">
        <v>22</v>
      </c>
      <c r="L24" s="1"/>
      <c r="M24" s="6">
        <v>37208.0</v>
      </c>
      <c r="N24" s="6"/>
      <c r="O24" s="6"/>
      <c r="P24" s="6"/>
      <c r="Q24" s="1">
        <v>105.0</v>
      </c>
      <c r="R24" s="1" t="s">
        <v>22</v>
      </c>
      <c r="S24" s="1"/>
      <c r="T24" s="6">
        <v>57786.0</v>
      </c>
      <c r="U24" s="6"/>
      <c r="V24" s="6"/>
      <c r="W24" s="6"/>
      <c r="X24" s="1">
        <v>1.0</v>
      </c>
      <c r="Y24" s="1" t="s">
        <v>23</v>
      </c>
      <c r="Z24" s="1">
        <v>618.0</v>
      </c>
      <c r="AA24" s="6">
        <v>16196.0</v>
      </c>
      <c r="AB24" s="6">
        <v>136671.0</v>
      </c>
      <c r="AC24" s="6">
        <v>10.0</v>
      </c>
      <c r="AD24" s="6"/>
      <c r="AE24" s="1">
        <v>3.0</v>
      </c>
      <c r="AF24" s="1" t="s">
        <v>23</v>
      </c>
      <c r="AG24" s="1">
        <v>1081.0</v>
      </c>
      <c r="AH24" s="6">
        <v>56691.0</v>
      </c>
      <c r="AI24" s="6">
        <v>394411.0</v>
      </c>
      <c r="AJ24" s="6">
        <v>13.0</v>
      </c>
      <c r="AK24" s="6"/>
      <c r="AL24" s="3">
        <f t="shared" si="4"/>
        <v>2</v>
      </c>
    </row>
    <row r="25">
      <c r="A25" s="1" t="s">
        <v>42</v>
      </c>
      <c r="B25" s="2">
        <v>234543.0</v>
      </c>
      <c r="C25" s="1">
        <v>13.0</v>
      </c>
      <c r="E25" s="1">
        <v>4.0</v>
      </c>
      <c r="F25" s="1"/>
      <c r="G25" s="1"/>
      <c r="H25" s="1"/>
      <c r="I25" s="1"/>
      <c r="J25" s="1"/>
      <c r="K25" s="1" t="s">
        <v>22</v>
      </c>
      <c r="L25" s="1"/>
      <c r="M25" s="6">
        <v>18911.0</v>
      </c>
      <c r="N25" s="6"/>
      <c r="O25" s="6"/>
      <c r="P25" s="6"/>
      <c r="Q25" s="1">
        <v>357.0</v>
      </c>
      <c r="R25" s="1" t="s">
        <v>22</v>
      </c>
      <c r="S25" s="1"/>
      <c r="T25" s="6">
        <v>57603.0</v>
      </c>
      <c r="U25" s="6"/>
      <c r="V25" s="6"/>
      <c r="W25" s="6"/>
      <c r="X25" s="1">
        <v>2.0</v>
      </c>
      <c r="Y25" s="1" t="s">
        <v>23</v>
      </c>
      <c r="Z25" s="1">
        <v>993.0</v>
      </c>
      <c r="AA25" s="6">
        <v>55038.0</v>
      </c>
      <c r="AB25" s="6">
        <v>272546.0</v>
      </c>
      <c r="AC25" s="6">
        <v>14.0</v>
      </c>
      <c r="AD25" s="6"/>
      <c r="AE25" s="1">
        <v>2.0</v>
      </c>
      <c r="AF25" s="1" t="s">
        <v>23</v>
      </c>
      <c r="AG25" s="1">
        <v>1037.0</v>
      </c>
      <c r="AH25" s="6">
        <v>54572.0</v>
      </c>
      <c r="AI25" s="6">
        <v>301181.0</v>
      </c>
      <c r="AJ25" s="6">
        <v>23.0</v>
      </c>
      <c r="AK25" s="6"/>
      <c r="AL25" s="3">
        <f t="shared" si="4"/>
        <v>2</v>
      </c>
    </row>
    <row r="26">
      <c r="A26" s="1" t="s">
        <v>43</v>
      </c>
      <c r="B26" s="2">
        <v>249551.0</v>
      </c>
      <c r="C26" s="1">
        <v>13.0</v>
      </c>
      <c r="E26" s="1">
        <v>2.0</v>
      </c>
      <c r="F26" s="1"/>
      <c r="G26" s="1"/>
      <c r="H26" s="1"/>
      <c r="I26" s="1"/>
      <c r="J26" s="1"/>
      <c r="K26" s="1" t="s">
        <v>21</v>
      </c>
      <c r="L26" s="1"/>
      <c r="M26" s="6">
        <v>52250.0</v>
      </c>
      <c r="N26" s="6"/>
      <c r="O26" s="6"/>
      <c r="P26" s="6"/>
      <c r="Q26" s="1">
        <v>2.0</v>
      </c>
      <c r="R26" s="1" t="s">
        <v>22</v>
      </c>
      <c r="S26" s="1"/>
      <c r="T26" s="6">
        <v>61057.0</v>
      </c>
      <c r="U26" s="6"/>
      <c r="V26" s="6"/>
      <c r="W26" s="6"/>
      <c r="X26" s="1">
        <v>2.0</v>
      </c>
      <c r="Y26" s="1" t="s">
        <v>23</v>
      </c>
      <c r="Z26" s="1">
        <v>1105.0</v>
      </c>
      <c r="AA26" s="6">
        <v>61192.0</v>
      </c>
      <c r="AB26" s="6">
        <v>438244.0</v>
      </c>
      <c r="AC26" s="6">
        <v>17.0</v>
      </c>
      <c r="AD26" s="6"/>
      <c r="AE26" s="1">
        <v>1.0</v>
      </c>
      <c r="AF26" s="1" t="s">
        <v>23</v>
      </c>
      <c r="AG26" s="1">
        <v>1142.0</v>
      </c>
      <c r="AH26" s="6">
        <v>56481.0</v>
      </c>
      <c r="AI26" s="6">
        <v>299694.0</v>
      </c>
      <c r="AJ26" s="6">
        <v>17.0</v>
      </c>
      <c r="AK26" s="6"/>
      <c r="AL26" s="3">
        <f t="shared" si="4"/>
        <v>2</v>
      </c>
    </row>
    <row r="27">
      <c r="A27" s="1" t="s">
        <v>44</v>
      </c>
      <c r="B27" s="2">
        <v>349585.0</v>
      </c>
      <c r="C27" s="1">
        <v>12.0</v>
      </c>
      <c r="E27" s="1">
        <v>2.0</v>
      </c>
      <c r="F27" s="1"/>
      <c r="G27" s="1"/>
      <c r="H27" s="1"/>
      <c r="I27" s="1"/>
      <c r="J27" s="1"/>
      <c r="K27" s="1" t="s">
        <v>23</v>
      </c>
      <c r="L27" s="1">
        <v>1082.0</v>
      </c>
      <c r="M27" s="6">
        <v>3734.0</v>
      </c>
      <c r="N27" s="6">
        <v>125651.0</v>
      </c>
      <c r="O27" s="6">
        <v>2.0</v>
      </c>
      <c r="P27" s="6"/>
      <c r="Q27" s="1">
        <v>151.0</v>
      </c>
      <c r="R27" s="1" t="s">
        <v>23</v>
      </c>
      <c r="S27" s="1">
        <v>78.0</v>
      </c>
      <c r="T27" s="6">
        <v>50672.0</v>
      </c>
      <c r="U27" s="6">
        <v>204131.0</v>
      </c>
      <c r="V27" s="6">
        <v>16.0</v>
      </c>
      <c r="W27" s="6"/>
      <c r="X27" s="1">
        <v>1.0</v>
      </c>
      <c r="Y27" s="1" t="s">
        <v>23</v>
      </c>
      <c r="Z27" s="1">
        <v>1166.0</v>
      </c>
      <c r="AA27" s="6">
        <v>53650.0</v>
      </c>
      <c r="AB27" s="6">
        <v>189344.0</v>
      </c>
      <c r="AC27" s="6">
        <v>14.0</v>
      </c>
      <c r="AD27" s="6"/>
      <c r="AE27" s="1">
        <v>7.0</v>
      </c>
      <c r="AF27" s="1" t="s">
        <v>23</v>
      </c>
      <c r="AG27" s="1">
        <v>1146.0</v>
      </c>
      <c r="AH27" s="6">
        <v>49743.0</v>
      </c>
      <c r="AI27" s="6">
        <v>215327.0</v>
      </c>
      <c r="AJ27" s="6">
        <v>10.0</v>
      </c>
      <c r="AK27" s="6"/>
      <c r="AL27" s="3">
        <f t="shared" si="4"/>
        <v>4</v>
      </c>
    </row>
    <row r="28">
      <c r="A28" s="1" t="s">
        <v>45</v>
      </c>
      <c r="B28" s="2">
        <v>149354.0</v>
      </c>
      <c r="C28" s="1">
        <v>15.0</v>
      </c>
      <c r="E28" s="1">
        <v>102.0</v>
      </c>
      <c r="F28" s="1"/>
      <c r="G28" s="1"/>
      <c r="H28" s="1"/>
      <c r="I28" s="1"/>
      <c r="J28" s="1"/>
      <c r="K28" s="1" t="s">
        <v>22</v>
      </c>
      <c r="L28" s="1"/>
      <c r="M28" s="6">
        <v>10079.0</v>
      </c>
      <c r="N28" s="6"/>
      <c r="O28" s="6"/>
      <c r="P28" s="6"/>
      <c r="Q28" s="1">
        <v>102.0</v>
      </c>
      <c r="R28" s="1" t="s">
        <v>22</v>
      </c>
      <c r="S28" s="1"/>
      <c r="T28" s="6">
        <v>63213.0</v>
      </c>
      <c r="U28" s="6"/>
      <c r="V28" s="6"/>
      <c r="W28" s="6"/>
      <c r="X28" s="1">
        <v>1.0</v>
      </c>
      <c r="Y28" s="1" t="s">
        <v>23</v>
      </c>
      <c r="Z28" s="1">
        <v>742.0</v>
      </c>
      <c r="AA28" s="6">
        <v>50287.0</v>
      </c>
      <c r="AB28" s="6">
        <v>165064.0</v>
      </c>
      <c r="AC28" s="6">
        <v>17.0</v>
      </c>
      <c r="AD28" s="6"/>
      <c r="AE28" s="1">
        <v>1.0</v>
      </c>
      <c r="AF28" s="1" t="s">
        <v>23</v>
      </c>
      <c r="AG28" s="1">
        <v>702.0</v>
      </c>
      <c r="AH28" s="6">
        <v>60284.0</v>
      </c>
      <c r="AI28" s="6">
        <v>226794.0</v>
      </c>
      <c r="AJ28" s="6">
        <v>16.0</v>
      </c>
      <c r="AK28" s="6"/>
      <c r="AL28" s="3">
        <f t="shared" si="4"/>
        <v>2</v>
      </c>
    </row>
    <row r="29">
      <c r="A29" s="1" t="s">
        <v>46</v>
      </c>
      <c r="B29" s="2">
        <v>270054.0</v>
      </c>
      <c r="C29" s="1">
        <v>15.0</v>
      </c>
      <c r="E29" s="1">
        <v>2.0</v>
      </c>
      <c r="F29" s="1"/>
      <c r="G29" s="1"/>
      <c r="H29" s="1"/>
      <c r="I29" s="1"/>
      <c r="J29" s="1"/>
      <c r="K29" s="1" t="s">
        <v>21</v>
      </c>
      <c r="L29" s="1"/>
      <c r="M29" s="6">
        <v>28069.0</v>
      </c>
      <c r="N29" s="6"/>
      <c r="O29" s="6"/>
      <c r="P29" s="6"/>
      <c r="Q29" s="1">
        <v>105.0</v>
      </c>
      <c r="R29" s="1" t="s">
        <v>22</v>
      </c>
      <c r="S29" s="1"/>
      <c r="T29" s="6">
        <v>59891.0</v>
      </c>
      <c r="U29" s="6"/>
      <c r="V29" s="6"/>
      <c r="W29" s="6"/>
      <c r="X29" s="1">
        <v>1.0</v>
      </c>
      <c r="Y29" s="1" t="s">
        <v>23</v>
      </c>
      <c r="Z29" s="1">
        <v>919.0</v>
      </c>
      <c r="AA29" s="6">
        <v>60812.0</v>
      </c>
      <c r="AB29" s="6">
        <v>143593.0</v>
      </c>
      <c r="AC29" s="6">
        <v>14.0</v>
      </c>
      <c r="AD29" s="6"/>
      <c r="AE29" s="1">
        <v>3.0</v>
      </c>
      <c r="AF29" s="1" t="s">
        <v>23</v>
      </c>
      <c r="AG29" s="1">
        <v>1033.0</v>
      </c>
      <c r="AH29" s="6">
        <v>55959.0</v>
      </c>
      <c r="AI29" s="6">
        <v>198009.0</v>
      </c>
      <c r="AJ29" s="6">
        <v>18.0</v>
      </c>
      <c r="AK29" s="6"/>
      <c r="AL29" s="3">
        <f t="shared" si="4"/>
        <v>2</v>
      </c>
    </row>
    <row r="30">
      <c r="A30" s="1" t="s">
        <v>47</v>
      </c>
      <c r="B30" s="2">
        <v>267413.0</v>
      </c>
      <c r="C30" s="1">
        <v>17.0</v>
      </c>
      <c r="E30" s="1">
        <v>22.0</v>
      </c>
      <c r="F30" s="1"/>
      <c r="G30" s="1"/>
      <c r="H30" s="1"/>
      <c r="I30" s="1"/>
      <c r="J30" s="1"/>
      <c r="K30" s="1" t="s">
        <v>22</v>
      </c>
      <c r="L30" s="1"/>
      <c r="M30" s="6">
        <v>37108.0</v>
      </c>
      <c r="N30" s="6"/>
      <c r="O30" s="6"/>
      <c r="P30" s="6"/>
      <c r="Q30" s="1">
        <v>5.0</v>
      </c>
      <c r="R30" s="1" t="s">
        <v>22</v>
      </c>
      <c r="S30" s="1"/>
      <c r="T30" s="6">
        <v>67545.0</v>
      </c>
      <c r="U30" s="6"/>
      <c r="V30" s="6"/>
      <c r="W30" s="6"/>
      <c r="X30" s="1">
        <v>72.0</v>
      </c>
      <c r="Y30" s="1" t="s">
        <v>23</v>
      </c>
      <c r="Z30" s="1">
        <v>1457.0</v>
      </c>
      <c r="AA30" s="6">
        <v>84180.0</v>
      </c>
      <c r="AB30" s="6">
        <v>133593.0</v>
      </c>
      <c r="AC30" s="6">
        <v>15.0</v>
      </c>
      <c r="AD30" s="6"/>
      <c r="AE30" s="1">
        <v>2.0</v>
      </c>
      <c r="AF30" s="1" t="s">
        <v>23</v>
      </c>
      <c r="AG30" s="1">
        <v>1758.0</v>
      </c>
      <c r="AH30" s="6">
        <v>79268.0</v>
      </c>
      <c r="AI30" s="6">
        <v>277419.0</v>
      </c>
      <c r="AJ30" s="6">
        <v>21.0</v>
      </c>
      <c r="AK30" s="6"/>
      <c r="AL30" s="3">
        <f t="shared" si="4"/>
        <v>2</v>
      </c>
    </row>
    <row r="31">
      <c r="A31" s="1" t="s">
        <v>48</v>
      </c>
      <c r="B31" s="2">
        <v>300061.0</v>
      </c>
      <c r="C31" s="1">
        <v>13.0</v>
      </c>
      <c r="E31" s="1">
        <v>1.0</v>
      </c>
      <c r="F31" s="1"/>
      <c r="G31" s="1"/>
      <c r="H31" s="1"/>
      <c r="I31" s="1"/>
      <c r="J31" s="1"/>
      <c r="K31" s="1" t="s">
        <v>21</v>
      </c>
      <c r="L31" s="1"/>
      <c r="M31" s="6">
        <v>30284.0</v>
      </c>
      <c r="N31" s="6"/>
      <c r="O31" s="6"/>
      <c r="P31" s="6"/>
      <c r="Q31" s="1">
        <v>371.0</v>
      </c>
      <c r="R31" s="1" t="s">
        <v>22</v>
      </c>
      <c r="S31" s="1"/>
      <c r="T31" s="6">
        <v>62925.0</v>
      </c>
      <c r="U31" s="6"/>
      <c r="V31" s="6"/>
      <c r="W31" s="6"/>
      <c r="X31" s="1">
        <v>9.0</v>
      </c>
      <c r="Y31" s="1" t="s">
        <v>23</v>
      </c>
      <c r="Z31" s="1">
        <v>1532.0</v>
      </c>
      <c r="AA31" s="6">
        <v>62610.0</v>
      </c>
      <c r="AB31" s="6">
        <v>231203.0</v>
      </c>
      <c r="AC31" s="6">
        <v>14.0</v>
      </c>
      <c r="AD31" s="6"/>
      <c r="AE31" s="1">
        <v>1.0</v>
      </c>
      <c r="AF31" s="1" t="s">
        <v>21</v>
      </c>
      <c r="AG31" s="1"/>
      <c r="AH31" s="6">
        <v>55218.0</v>
      </c>
      <c r="AI31" s="6"/>
      <c r="AJ31" s="6"/>
      <c r="AK31" s="6"/>
      <c r="AL31" s="3">
        <f t="shared" si="4"/>
        <v>1</v>
      </c>
    </row>
    <row r="32">
      <c r="A32" s="1" t="s">
        <v>49</v>
      </c>
      <c r="B32" s="2">
        <v>305175.0</v>
      </c>
      <c r="C32" s="1">
        <v>17.0</v>
      </c>
      <c r="E32" s="1">
        <v>5.0</v>
      </c>
      <c r="F32" s="1"/>
      <c r="G32" s="1"/>
      <c r="H32" s="1"/>
      <c r="I32" s="1"/>
      <c r="J32" s="1"/>
      <c r="K32" s="1" t="s">
        <v>22</v>
      </c>
      <c r="L32" s="1"/>
      <c r="M32" s="6">
        <v>33851.0</v>
      </c>
      <c r="N32" s="6"/>
      <c r="O32" s="6"/>
      <c r="P32" s="6"/>
      <c r="Q32" s="1">
        <v>110.0</v>
      </c>
      <c r="R32" s="1" t="s">
        <v>22</v>
      </c>
      <c r="S32" s="1"/>
      <c r="T32" s="6">
        <v>62220.0</v>
      </c>
      <c r="U32" s="6"/>
      <c r="V32" s="6"/>
      <c r="W32" s="6"/>
      <c r="X32" s="1">
        <v>50.0</v>
      </c>
      <c r="Y32" s="1" t="s">
        <v>23</v>
      </c>
      <c r="Z32" s="1" t="s">
        <v>50</v>
      </c>
      <c r="AA32" s="6">
        <v>71788.0</v>
      </c>
      <c r="AB32" s="6">
        <v>154400.0</v>
      </c>
      <c r="AC32" s="6">
        <v>24.0</v>
      </c>
      <c r="AD32" s="6"/>
      <c r="AE32" s="1">
        <v>1.0</v>
      </c>
      <c r="AF32" s="1" t="s">
        <v>21</v>
      </c>
      <c r="AG32" s="1"/>
      <c r="AH32" s="6">
        <v>66535.0</v>
      </c>
      <c r="AI32" s="6"/>
      <c r="AJ32" s="6"/>
      <c r="AK32" s="6"/>
      <c r="AL32" s="3">
        <f t="shared" si="4"/>
        <v>1</v>
      </c>
    </row>
    <row r="33">
      <c r="A33" s="1" t="s">
        <v>51</v>
      </c>
      <c r="B33" s="2">
        <v>276587.0</v>
      </c>
      <c r="C33" s="1">
        <v>16.0</v>
      </c>
      <c r="E33" s="1">
        <v>1.0</v>
      </c>
      <c r="F33" s="1"/>
      <c r="G33" s="1"/>
      <c r="H33" s="1"/>
      <c r="I33" s="1"/>
      <c r="J33" s="1"/>
      <c r="K33" s="1" t="s">
        <v>21</v>
      </c>
      <c r="L33" s="1"/>
      <c r="M33" s="6">
        <v>41562.0</v>
      </c>
      <c r="N33" s="6"/>
      <c r="O33" s="6"/>
      <c r="P33" s="6"/>
      <c r="Q33" s="1">
        <v>263.0</v>
      </c>
      <c r="R33" s="1" t="s">
        <v>23</v>
      </c>
      <c r="S33" s="1">
        <v>46.0</v>
      </c>
      <c r="T33" s="6">
        <v>40812.0</v>
      </c>
      <c r="U33" s="6">
        <v>113149.0</v>
      </c>
      <c r="V33" s="6">
        <v>11.0</v>
      </c>
      <c r="W33" s="6"/>
      <c r="X33" s="1">
        <v>35.0</v>
      </c>
      <c r="Y33" s="1" t="s">
        <v>23</v>
      </c>
      <c r="Z33" s="1">
        <v>1498.0</v>
      </c>
      <c r="AA33" s="6">
        <v>78576.0</v>
      </c>
      <c r="AB33" s="6">
        <v>157632.0</v>
      </c>
      <c r="AC33" s="6">
        <v>15.0</v>
      </c>
      <c r="AD33" s="6"/>
      <c r="AE33" s="1">
        <v>6.0</v>
      </c>
      <c r="AF33" s="1" t="s">
        <v>21</v>
      </c>
      <c r="AG33" s="1"/>
      <c r="AH33" s="6">
        <v>67348.0</v>
      </c>
      <c r="AI33" s="6"/>
      <c r="AJ33" s="6"/>
      <c r="AK33" s="6"/>
      <c r="AL33" s="3">
        <f t="shared" si="4"/>
        <v>2</v>
      </c>
    </row>
    <row r="34">
      <c r="A34" s="1" t="s">
        <v>52</v>
      </c>
      <c r="B34" s="2">
        <v>351675.0</v>
      </c>
      <c r="C34" s="1">
        <v>12.0</v>
      </c>
      <c r="E34" s="1">
        <v>5.0</v>
      </c>
      <c r="F34" s="1"/>
      <c r="G34" s="1"/>
      <c r="H34" s="1"/>
      <c r="I34" s="1"/>
      <c r="J34" s="1"/>
      <c r="K34" s="1" t="s">
        <v>22</v>
      </c>
      <c r="L34" s="1"/>
      <c r="M34" s="6">
        <v>42982.0</v>
      </c>
      <c r="N34" s="6"/>
      <c r="O34" s="6"/>
      <c r="P34" s="6"/>
      <c r="Q34" s="1">
        <v>251.0</v>
      </c>
      <c r="R34" s="1" t="s">
        <v>22</v>
      </c>
      <c r="S34" s="1"/>
      <c r="T34" s="6">
        <v>55379.0</v>
      </c>
      <c r="U34" s="6"/>
      <c r="V34" s="6"/>
      <c r="W34" s="6"/>
      <c r="X34" s="1">
        <v>6.0</v>
      </c>
      <c r="Y34" s="1" t="s">
        <v>23</v>
      </c>
      <c r="Z34" s="1">
        <v>726.0</v>
      </c>
      <c r="AA34" s="6">
        <v>62186.0</v>
      </c>
      <c r="AB34" s="6">
        <v>199544.0</v>
      </c>
      <c r="AC34" s="6">
        <v>13.0</v>
      </c>
      <c r="AD34" s="6"/>
      <c r="AE34" s="1">
        <v>1.0</v>
      </c>
      <c r="AF34" s="1" t="s">
        <v>21</v>
      </c>
      <c r="AG34" s="1"/>
      <c r="AH34" s="6">
        <v>52062.0</v>
      </c>
      <c r="AI34" s="6"/>
      <c r="AJ34" s="6"/>
      <c r="AK34" s="6"/>
      <c r="AL34" s="3">
        <f t="shared" si="4"/>
        <v>1</v>
      </c>
    </row>
    <row r="35">
      <c r="A35" s="1" t="s">
        <v>53</v>
      </c>
      <c r="B35" s="2">
        <v>252071.0</v>
      </c>
      <c r="C35" s="1">
        <v>11.0</v>
      </c>
      <c r="E35" s="1">
        <v>1.0</v>
      </c>
      <c r="F35" s="1"/>
      <c r="G35" s="1"/>
      <c r="H35" s="1"/>
      <c r="I35" s="1"/>
      <c r="J35" s="1"/>
      <c r="K35" s="1" t="s">
        <v>21</v>
      </c>
      <c r="L35" s="1"/>
      <c r="M35" s="6">
        <v>29331.0</v>
      </c>
      <c r="N35" s="6"/>
      <c r="O35" s="6"/>
      <c r="P35" s="6"/>
      <c r="Q35" s="1">
        <v>102.0</v>
      </c>
      <c r="R35" s="1" t="s">
        <v>22</v>
      </c>
      <c r="S35" s="1"/>
      <c r="T35" s="6">
        <v>54201.0</v>
      </c>
      <c r="U35" s="6"/>
      <c r="V35" s="6"/>
      <c r="W35" s="6"/>
      <c r="X35" s="1">
        <v>8.0</v>
      </c>
      <c r="Y35" s="1" t="s">
        <v>23</v>
      </c>
      <c r="Z35" s="1">
        <v>644.0</v>
      </c>
      <c r="AA35" s="6">
        <v>53275.0</v>
      </c>
      <c r="AB35" s="6">
        <v>160889.0</v>
      </c>
      <c r="AC35" s="6">
        <v>21.0</v>
      </c>
      <c r="AD35" s="6"/>
      <c r="AE35" s="1">
        <v>1.0</v>
      </c>
      <c r="AF35" s="1" t="s">
        <v>23</v>
      </c>
      <c r="AG35" s="1">
        <v>738.0</v>
      </c>
      <c r="AH35" s="6">
        <v>51216.0</v>
      </c>
      <c r="AI35" s="6">
        <v>271768.0</v>
      </c>
      <c r="AJ35" s="6">
        <v>11.0</v>
      </c>
      <c r="AK35" s="6"/>
      <c r="AL35" s="3">
        <f t="shared" si="4"/>
        <v>2</v>
      </c>
    </row>
    <row r="36">
      <c r="A36" s="1" t="s">
        <v>54</v>
      </c>
      <c r="B36" s="2">
        <v>305813.0</v>
      </c>
      <c r="C36" s="1">
        <v>12.0</v>
      </c>
      <c r="E36" s="1">
        <v>4.0</v>
      </c>
      <c r="F36" s="1"/>
      <c r="G36" s="1"/>
      <c r="H36" s="1"/>
      <c r="I36" s="1"/>
      <c r="J36" s="1"/>
      <c r="K36" s="1" t="s">
        <v>22</v>
      </c>
      <c r="L36" s="1"/>
      <c r="M36" s="6">
        <v>45760.0</v>
      </c>
      <c r="N36" s="6"/>
      <c r="O36" s="6"/>
      <c r="P36" s="6"/>
      <c r="Q36" s="1">
        <v>163.0</v>
      </c>
      <c r="R36" s="1" t="s">
        <v>22</v>
      </c>
      <c r="S36" s="1"/>
      <c r="T36" s="6">
        <v>49910.0</v>
      </c>
      <c r="U36" s="6"/>
      <c r="V36" s="6"/>
      <c r="W36" s="6"/>
      <c r="X36" s="1">
        <v>8.0</v>
      </c>
      <c r="Y36" s="1" t="s">
        <v>23</v>
      </c>
      <c r="Z36" s="1" t="s">
        <v>50</v>
      </c>
      <c r="AA36" s="6">
        <v>49128.0</v>
      </c>
      <c r="AB36" s="6">
        <v>205320.0</v>
      </c>
      <c r="AC36" s="6">
        <v>13.0</v>
      </c>
      <c r="AD36" s="6"/>
      <c r="AE36" s="1">
        <v>3.0</v>
      </c>
      <c r="AF36" s="1" t="s">
        <v>23</v>
      </c>
      <c r="AG36" s="1">
        <v>424.0</v>
      </c>
      <c r="AH36" s="6">
        <v>51055.0</v>
      </c>
      <c r="AI36" s="6">
        <v>273571.0</v>
      </c>
      <c r="AJ36" s="6">
        <v>12.0</v>
      </c>
      <c r="AK36" s="6"/>
      <c r="AL36" s="3">
        <f t="shared" si="4"/>
        <v>2</v>
      </c>
    </row>
    <row r="37">
      <c r="A37" s="1" t="s">
        <v>55</v>
      </c>
      <c r="B37" s="2">
        <v>248122.0</v>
      </c>
      <c r="C37" s="1">
        <v>12.0</v>
      </c>
      <c r="E37" s="1">
        <v>1.0</v>
      </c>
      <c r="F37" s="1"/>
      <c r="G37" s="1"/>
      <c r="H37" s="1"/>
      <c r="I37" s="1"/>
      <c r="J37" s="1"/>
      <c r="K37" s="1" t="s">
        <v>21</v>
      </c>
      <c r="L37" s="1"/>
      <c r="M37" s="6">
        <v>27011.0</v>
      </c>
      <c r="N37" s="6"/>
      <c r="O37" s="6"/>
      <c r="P37" s="6"/>
      <c r="Q37" s="1">
        <v>15.0</v>
      </c>
      <c r="R37" s="1" t="s">
        <v>21</v>
      </c>
      <c r="S37" s="1"/>
      <c r="T37" s="6">
        <v>59373.0</v>
      </c>
      <c r="U37" s="6"/>
      <c r="V37" s="6"/>
      <c r="W37" s="6"/>
      <c r="X37" s="1">
        <v>6.0</v>
      </c>
      <c r="Y37" s="1" t="s">
        <v>23</v>
      </c>
      <c r="Z37" s="1">
        <v>991.0</v>
      </c>
      <c r="AA37" s="6">
        <v>65519.0</v>
      </c>
      <c r="AB37" s="6">
        <v>202375.0</v>
      </c>
      <c r="AC37" s="6">
        <v>14.0</v>
      </c>
      <c r="AD37" s="6"/>
      <c r="AE37" s="1">
        <v>12.0</v>
      </c>
      <c r="AF37" s="1" t="s">
        <v>23</v>
      </c>
      <c r="AG37" s="1">
        <v>1163.0</v>
      </c>
      <c r="AH37" s="6">
        <v>57009.0</v>
      </c>
      <c r="AI37" s="6">
        <v>365439.0</v>
      </c>
      <c r="AJ37" s="6">
        <v>17.0</v>
      </c>
      <c r="AK37" s="6"/>
      <c r="AL37" s="3">
        <f t="shared" si="4"/>
        <v>2</v>
      </c>
    </row>
    <row r="38">
      <c r="A38" s="1" t="s">
        <v>56</v>
      </c>
      <c r="B38" s="2">
        <v>274603.0</v>
      </c>
      <c r="C38" s="1">
        <v>17.0</v>
      </c>
      <c r="E38" s="1">
        <v>17.0</v>
      </c>
      <c r="F38" s="1"/>
      <c r="G38" s="1"/>
      <c r="H38" s="1"/>
      <c r="I38" s="1"/>
      <c r="J38" s="1"/>
      <c r="K38" s="1" t="s">
        <v>21</v>
      </c>
      <c r="L38" s="1"/>
      <c r="M38" s="6">
        <v>31788.0</v>
      </c>
      <c r="N38" s="6"/>
      <c r="O38" s="6"/>
      <c r="P38" s="6"/>
      <c r="Q38" s="1">
        <v>194.0</v>
      </c>
      <c r="R38" s="1" t="s">
        <v>22</v>
      </c>
      <c r="S38" s="1"/>
      <c r="T38" s="6">
        <v>54336.0</v>
      </c>
      <c r="U38" s="6"/>
      <c r="V38" s="6"/>
      <c r="W38" s="6"/>
      <c r="X38" s="1">
        <v>3.0</v>
      </c>
      <c r="Y38" s="1" t="s">
        <v>23</v>
      </c>
      <c r="Z38" s="1">
        <v>1378.0</v>
      </c>
      <c r="AA38" s="6">
        <v>77594.0</v>
      </c>
      <c r="AB38" s="6">
        <v>197932.0</v>
      </c>
      <c r="AC38" s="6">
        <v>18.0</v>
      </c>
      <c r="AD38" s="6"/>
      <c r="AE38" s="1">
        <v>11.0</v>
      </c>
      <c r="AF38" s="1" t="s">
        <v>23</v>
      </c>
      <c r="AG38" s="1">
        <v>1043.0</v>
      </c>
      <c r="AH38" s="6">
        <v>68497.0</v>
      </c>
      <c r="AI38" s="6">
        <v>165074.0</v>
      </c>
      <c r="AJ38" s="6">
        <v>11.0</v>
      </c>
      <c r="AK38" s="6"/>
      <c r="AL38" s="3">
        <f t="shared" si="4"/>
        <v>2</v>
      </c>
    </row>
    <row r="39">
      <c r="A39" s="1" t="s">
        <v>57</v>
      </c>
      <c r="B39" s="2">
        <v>255292.0</v>
      </c>
      <c r="C39" s="1">
        <v>12.0</v>
      </c>
      <c r="E39" s="1">
        <v>138.0</v>
      </c>
      <c r="F39" s="1"/>
      <c r="G39" s="1"/>
      <c r="H39" s="1"/>
      <c r="I39" s="1"/>
      <c r="J39" s="1"/>
      <c r="K39" s="1" t="s">
        <v>21</v>
      </c>
      <c r="L39" s="1"/>
      <c r="M39" s="6">
        <v>32664.0</v>
      </c>
      <c r="N39" s="6"/>
      <c r="O39" s="6"/>
      <c r="P39" s="6"/>
      <c r="Q39" s="1">
        <v>210.0</v>
      </c>
      <c r="R39" s="1" t="s">
        <v>22</v>
      </c>
      <c r="S39" s="1"/>
      <c r="T39" s="6">
        <v>52354.0</v>
      </c>
      <c r="U39" s="6"/>
      <c r="V39" s="6"/>
      <c r="W39" s="6"/>
      <c r="X39" s="1">
        <v>20.0</v>
      </c>
      <c r="Y39" s="1" t="s">
        <v>21</v>
      </c>
      <c r="Z39" s="1"/>
      <c r="AA39" s="6">
        <v>58431.0</v>
      </c>
      <c r="AB39" s="6"/>
      <c r="AC39" s="6"/>
      <c r="AD39" s="6"/>
      <c r="AE39" s="1">
        <v>21.0</v>
      </c>
      <c r="AF39" s="1" t="s">
        <v>21</v>
      </c>
      <c r="AG39" s="1"/>
      <c r="AH39" s="6">
        <v>55523.0</v>
      </c>
      <c r="AI39" s="6"/>
      <c r="AJ39" s="6"/>
      <c r="AK39" s="6"/>
      <c r="AL39" s="3">
        <f t="shared" si="4"/>
        <v>0</v>
      </c>
    </row>
    <row r="40">
      <c r="A40" s="1" t="s">
        <v>58</v>
      </c>
      <c r="B40" s="2">
        <v>270256.0</v>
      </c>
      <c r="C40" s="1">
        <v>19.0</v>
      </c>
      <c r="E40" s="1">
        <v>2.0</v>
      </c>
      <c r="F40" s="1"/>
      <c r="G40" s="1"/>
      <c r="H40" s="1"/>
      <c r="I40" s="1"/>
      <c r="J40" s="1"/>
      <c r="K40" s="1" t="s">
        <v>23</v>
      </c>
      <c r="L40" s="1">
        <v>921.0</v>
      </c>
      <c r="M40" s="6">
        <v>3591.0</v>
      </c>
      <c r="N40" s="6">
        <v>67398.0</v>
      </c>
      <c r="O40" s="6">
        <v>2.0</v>
      </c>
      <c r="P40" s="6"/>
      <c r="Q40" s="1">
        <v>205.0</v>
      </c>
      <c r="R40" s="1" t="s">
        <v>22</v>
      </c>
      <c r="S40" s="1"/>
      <c r="T40" s="6">
        <v>35463.0</v>
      </c>
      <c r="U40" s="6"/>
      <c r="V40" s="6"/>
      <c r="W40" s="6"/>
      <c r="X40" s="1">
        <v>176.0</v>
      </c>
      <c r="Y40" s="1" t="s">
        <v>23</v>
      </c>
      <c r="Z40" s="1">
        <v>1683.0</v>
      </c>
      <c r="AA40" s="6">
        <v>75938.0</v>
      </c>
      <c r="AB40" s="6">
        <v>182735.0</v>
      </c>
      <c r="AC40" s="6">
        <v>21.0</v>
      </c>
      <c r="AD40" s="6"/>
      <c r="AE40" s="1">
        <v>1.0</v>
      </c>
      <c r="AF40" s="1" t="s">
        <v>23</v>
      </c>
      <c r="AG40" s="1">
        <v>1554.0</v>
      </c>
      <c r="AH40" s="6">
        <v>68612.0</v>
      </c>
      <c r="AI40" s="6">
        <v>309982.0</v>
      </c>
      <c r="AJ40" s="6">
        <v>19.0</v>
      </c>
      <c r="AK40" s="6"/>
      <c r="AL40" s="3">
        <f t="shared" si="4"/>
        <v>3</v>
      </c>
    </row>
    <row r="41">
      <c r="A41" s="1" t="s">
        <v>59</v>
      </c>
      <c r="B41" s="2">
        <v>287800.0</v>
      </c>
      <c r="C41" s="1">
        <v>12.0</v>
      </c>
      <c r="E41" s="1">
        <v>5.0</v>
      </c>
      <c r="F41" s="1"/>
      <c r="G41" s="1"/>
      <c r="H41" s="1"/>
      <c r="I41" s="1"/>
      <c r="J41" s="1"/>
      <c r="K41" s="1" t="s">
        <v>22</v>
      </c>
      <c r="L41" s="1"/>
      <c r="M41" s="6">
        <v>35066.0</v>
      </c>
      <c r="N41" s="6"/>
      <c r="O41" s="6"/>
      <c r="P41" s="6"/>
      <c r="Q41" s="1">
        <v>176.0</v>
      </c>
      <c r="R41" s="1" t="s">
        <v>22</v>
      </c>
      <c r="S41" s="1"/>
      <c r="T41" s="6">
        <v>56544.0</v>
      </c>
      <c r="U41" s="6"/>
      <c r="V41" s="6"/>
      <c r="W41" s="6"/>
      <c r="X41" s="1">
        <v>1.0</v>
      </c>
      <c r="Y41" s="1" t="s">
        <v>23</v>
      </c>
      <c r="Z41" s="1">
        <v>746.0</v>
      </c>
      <c r="AA41" s="6">
        <v>54706.0</v>
      </c>
      <c r="AB41" s="6">
        <v>166156.0</v>
      </c>
      <c r="AC41" s="6">
        <v>11.0</v>
      </c>
      <c r="AD41" s="6"/>
      <c r="AE41" s="1">
        <v>89.0</v>
      </c>
      <c r="AF41" s="1" t="s">
        <v>23</v>
      </c>
      <c r="AG41" s="1">
        <v>742.0</v>
      </c>
      <c r="AH41" s="6">
        <v>52684.0</v>
      </c>
      <c r="AI41" s="6">
        <v>380452.0</v>
      </c>
      <c r="AJ41" s="6">
        <v>15.0</v>
      </c>
      <c r="AK41" s="6"/>
      <c r="AL41" s="3">
        <f t="shared" si="4"/>
        <v>2</v>
      </c>
    </row>
    <row r="42">
      <c r="A42" s="1" t="s">
        <v>60</v>
      </c>
      <c r="B42" s="2">
        <v>250319.0</v>
      </c>
      <c r="C42" s="1">
        <v>7.0</v>
      </c>
      <c r="E42" s="1">
        <v>1.0</v>
      </c>
      <c r="F42" s="1"/>
      <c r="G42" s="1"/>
      <c r="H42" s="1"/>
      <c r="I42" s="1"/>
      <c r="J42" s="1"/>
      <c r="K42" s="1" t="s">
        <v>21</v>
      </c>
      <c r="L42" s="1"/>
      <c r="M42" s="6">
        <v>31084.0</v>
      </c>
      <c r="N42" s="6"/>
      <c r="O42" s="6"/>
      <c r="P42" s="6"/>
      <c r="Q42" s="1">
        <v>111.0</v>
      </c>
      <c r="R42" s="1" t="s">
        <v>22</v>
      </c>
      <c r="S42" s="1"/>
      <c r="T42" s="6">
        <v>30500.0</v>
      </c>
      <c r="U42" s="6"/>
      <c r="V42" s="6"/>
      <c r="W42" s="6"/>
      <c r="X42" s="1">
        <v>1.0</v>
      </c>
      <c r="Y42" s="1" t="s">
        <v>23</v>
      </c>
      <c r="Z42" s="1">
        <v>617.0</v>
      </c>
      <c r="AA42" s="6">
        <v>29863.0</v>
      </c>
      <c r="AB42" s="6">
        <v>174468.0</v>
      </c>
      <c r="AC42" s="6">
        <v>10.0</v>
      </c>
      <c r="AD42" s="6"/>
      <c r="AE42" s="1">
        <v>2.0</v>
      </c>
      <c r="AF42" s="1" t="s">
        <v>23</v>
      </c>
      <c r="AG42" s="1">
        <v>598.0</v>
      </c>
      <c r="AH42" s="6">
        <v>29231.0</v>
      </c>
      <c r="AI42" s="6">
        <v>402485.0</v>
      </c>
      <c r="AJ42" s="6">
        <v>9.0</v>
      </c>
      <c r="AK42" s="6"/>
      <c r="AL42" s="3">
        <f t="shared" si="4"/>
        <v>2</v>
      </c>
    </row>
    <row r="43">
      <c r="A43" s="1" t="s">
        <v>61</v>
      </c>
      <c r="B43" s="2">
        <v>351995.0</v>
      </c>
      <c r="C43" s="1">
        <v>11.0</v>
      </c>
      <c r="E43" s="1">
        <v>4.0</v>
      </c>
      <c r="F43" s="1"/>
      <c r="G43" s="1"/>
      <c r="H43" s="1"/>
      <c r="I43" s="1"/>
      <c r="J43" s="1"/>
      <c r="K43" s="1" t="s">
        <v>22</v>
      </c>
      <c r="L43" s="1"/>
      <c r="M43" s="6">
        <v>12609.0</v>
      </c>
      <c r="N43" s="6"/>
      <c r="O43" s="6"/>
      <c r="P43" s="6"/>
      <c r="Q43" s="1">
        <v>4.0</v>
      </c>
      <c r="R43" s="1" t="s">
        <v>22</v>
      </c>
      <c r="S43" s="1"/>
      <c r="T43" s="6">
        <v>41077.0</v>
      </c>
      <c r="U43" s="6"/>
      <c r="V43" s="6"/>
      <c r="W43" s="6"/>
      <c r="X43" s="1">
        <v>23.0</v>
      </c>
      <c r="Y43" s="1" t="s">
        <v>62</v>
      </c>
      <c r="AA43" s="6">
        <v>41164.0</v>
      </c>
      <c r="AB43" s="6"/>
      <c r="AC43" s="6"/>
      <c r="AD43" s="6"/>
      <c r="AE43" s="1">
        <v>57.0</v>
      </c>
      <c r="AF43" s="1" t="s">
        <v>23</v>
      </c>
      <c r="AG43" s="1">
        <v>1484.0</v>
      </c>
      <c r="AH43" s="6">
        <v>37683.0</v>
      </c>
      <c r="AI43" s="6">
        <v>343295.0</v>
      </c>
      <c r="AJ43" s="6">
        <v>13.0</v>
      </c>
      <c r="AK43" s="6"/>
      <c r="AL43" s="3">
        <f t="shared" si="4"/>
        <v>1</v>
      </c>
    </row>
    <row r="44">
      <c r="A44" s="1" t="s">
        <v>63</v>
      </c>
      <c r="B44" s="2">
        <v>202745.0</v>
      </c>
      <c r="C44" s="1">
        <v>7.0</v>
      </c>
      <c r="E44" s="1">
        <v>35.0</v>
      </c>
      <c r="F44" s="1"/>
      <c r="G44" s="1"/>
      <c r="H44" s="1"/>
      <c r="I44" s="1"/>
      <c r="J44" s="1"/>
      <c r="K44" s="1" t="s">
        <v>22</v>
      </c>
      <c r="L44" s="1"/>
      <c r="M44" s="6">
        <v>11800.0</v>
      </c>
      <c r="N44" s="6"/>
      <c r="O44" s="6"/>
      <c r="P44" s="6"/>
      <c r="Q44" s="1">
        <v>2.0</v>
      </c>
      <c r="R44" s="1" t="s">
        <v>21</v>
      </c>
      <c r="S44" s="1"/>
      <c r="T44" s="6">
        <v>33043.0</v>
      </c>
      <c r="U44" s="6"/>
      <c r="V44" s="6"/>
      <c r="W44" s="6"/>
      <c r="X44" s="1">
        <v>1.0</v>
      </c>
      <c r="Y44" s="1" t="s">
        <v>23</v>
      </c>
      <c r="Z44" s="1">
        <v>609.0</v>
      </c>
      <c r="AA44" s="6">
        <v>33604.0</v>
      </c>
      <c r="AB44" s="6">
        <v>130124.0</v>
      </c>
      <c r="AC44" s="6">
        <v>8.0</v>
      </c>
      <c r="AD44" s="6"/>
      <c r="AE44" s="1">
        <v>7.0</v>
      </c>
      <c r="AF44" s="1" t="s">
        <v>23</v>
      </c>
      <c r="AG44" s="1">
        <v>641.0</v>
      </c>
      <c r="AH44" s="6">
        <v>31321.0</v>
      </c>
      <c r="AI44" s="6">
        <v>163714.0</v>
      </c>
      <c r="AJ44" s="6">
        <v>7.0</v>
      </c>
      <c r="AK44" s="6"/>
      <c r="AL44" s="3">
        <f t="shared" si="4"/>
        <v>2</v>
      </c>
    </row>
    <row r="45">
      <c r="A45" s="1" t="s">
        <v>64</v>
      </c>
      <c r="B45" s="2">
        <v>285476.0</v>
      </c>
      <c r="C45" s="1">
        <v>22.0</v>
      </c>
      <c r="E45" s="1">
        <v>3.0</v>
      </c>
      <c r="F45" s="1"/>
      <c r="G45" s="1"/>
      <c r="H45" s="1"/>
      <c r="I45" s="1"/>
      <c r="J45" s="1"/>
      <c r="K45" s="1" t="s">
        <v>23</v>
      </c>
      <c r="L45" s="1">
        <v>1574.0</v>
      </c>
      <c r="M45" s="6">
        <v>32248.0</v>
      </c>
      <c r="N45" s="6">
        <v>136986.0</v>
      </c>
      <c r="O45" s="6">
        <v>9.0</v>
      </c>
      <c r="P45" s="6"/>
      <c r="Q45" s="1">
        <v>11.0</v>
      </c>
      <c r="R45" s="1" t="s">
        <v>23</v>
      </c>
      <c r="S45" s="1">
        <v>1349.0</v>
      </c>
      <c r="T45" s="6">
        <v>53210.0</v>
      </c>
      <c r="U45" s="6">
        <v>171914.0</v>
      </c>
      <c r="V45" s="6">
        <v>18.0</v>
      </c>
      <c r="W45" s="6"/>
      <c r="X45" s="1">
        <v>1.0</v>
      </c>
      <c r="Y45" s="1" t="s">
        <v>23</v>
      </c>
      <c r="Z45" s="1">
        <v>2087.0</v>
      </c>
      <c r="AA45" s="6">
        <v>93849.0</v>
      </c>
      <c r="AB45" s="6">
        <v>186562.0</v>
      </c>
      <c r="AC45" s="6">
        <v>26.0</v>
      </c>
      <c r="AD45" s="6"/>
      <c r="AE45" s="1">
        <v>1.0</v>
      </c>
      <c r="AF45" s="1" t="s">
        <v>23</v>
      </c>
      <c r="AG45" s="1">
        <v>1824.0</v>
      </c>
      <c r="AH45" s="6">
        <v>65044.0</v>
      </c>
      <c r="AI45" s="6">
        <v>233084.0</v>
      </c>
      <c r="AJ45" s="6">
        <v>14.0</v>
      </c>
      <c r="AK45" s="6"/>
      <c r="AL45" s="3">
        <f t="shared" si="4"/>
        <v>4</v>
      </c>
    </row>
    <row r="46">
      <c r="A46" s="1" t="s">
        <v>65</v>
      </c>
      <c r="B46" s="2">
        <v>225282.0</v>
      </c>
      <c r="C46" s="1">
        <v>13.0</v>
      </c>
      <c r="E46" s="1">
        <v>10.0</v>
      </c>
      <c r="F46" s="1"/>
      <c r="G46" s="1"/>
      <c r="H46" s="1"/>
      <c r="I46" s="1"/>
      <c r="J46" s="1"/>
      <c r="K46" s="1" t="s">
        <v>23</v>
      </c>
      <c r="L46" s="1">
        <v>1366.0</v>
      </c>
      <c r="M46" s="6">
        <v>8580.0</v>
      </c>
      <c r="N46" s="6">
        <v>185572.0</v>
      </c>
      <c r="O46" s="6">
        <v>4.0</v>
      </c>
      <c r="P46" s="6"/>
      <c r="Q46" s="1">
        <v>544.0</v>
      </c>
      <c r="R46" s="1" t="s">
        <v>22</v>
      </c>
      <c r="S46" s="1"/>
      <c r="T46" s="6">
        <v>56219.0</v>
      </c>
      <c r="U46" s="6"/>
      <c r="V46" s="6"/>
      <c r="W46" s="6"/>
      <c r="X46" s="1">
        <v>3.0</v>
      </c>
      <c r="Y46" s="1" t="s">
        <v>23</v>
      </c>
      <c r="Z46" s="1">
        <v>874.0</v>
      </c>
      <c r="AA46" s="6">
        <v>55331.0</v>
      </c>
      <c r="AB46" s="6">
        <v>112737.0</v>
      </c>
      <c r="AC46" s="6">
        <v>11.0</v>
      </c>
      <c r="AD46" s="6"/>
      <c r="AE46" s="1">
        <v>25.0</v>
      </c>
      <c r="AF46" s="1" t="s">
        <v>23</v>
      </c>
      <c r="AG46" s="1">
        <v>1241.0</v>
      </c>
      <c r="AH46" s="6">
        <v>51551.0</v>
      </c>
      <c r="AI46" s="6">
        <v>384178.0</v>
      </c>
      <c r="AJ46" s="6">
        <v>16.0</v>
      </c>
      <c r="AK46" s="6"/>
      <c r="AL46" s="3">
        <f t="shared" si="4"/>
        <v>3</v>
      </c>
    </row>
    <row r="47">
      <c r="A47" s="1" t="s">
        <v>66</v>
      </c>
      <c r="B47" s="2">
        <v>286233.0</v>
      </c>
      <c r="C47" s="1">
        <v>16.0</v>
      </c>
      <c r="E47" s="1">
        <v>102.0</v>
      </c>
      <c r="F47" s="1"/>
      <c r="G47" s="1"/>
      <c r="H47" s="1"/>
      <c r="I47" s="1"/>
      <c r="J47" s="1"/>
      <c r="K47" s="1" t="s">
        <v>23</v>
      </c>
      <c r="L47" s="1">
        <v>902.0</v>
      </c>
      <c r="M47" s="6">
        <v>15259.0</v>
      </c>
      <c r="N47" s="1" t="s">
        <v>67</v>
      </c>
      <c r="P47" s="6"/>
      <c r="Q47" s="1">
        <v>113.0</v>
      </c>
      <c r="R47" s="1" t="s">
        <v>22</v>
      </c>
      <c r="S47" s="1"/>
      <c r="T47" s="6">
        <v>64038.0</v>
      </c>
      <c r="U47" s="6"/>
      <c r="V47" s="6"/>
      <c r="W47" s="6"/>
      <c r="X47" s="1">
        <v>25.0</v>
      </c>
      <c r="Y47" s="1" t="s">
        <v>23</v>
      </c>
      <c r="Z47" s="1">
        <v>904.0</v>
      </c>
      <c r="AA47" s="6">
        <v>44295.0</v>
      </c>
      <c r="AB47" s="6">
        <v>189572.0</v>
      </c>
      <c r="AC47" s="6">
        <v>12.0</v>
      </c>
      <c r="AD47" s="6"/>
      <c r="AE47" s="1">
        <v>6.0</v>
      </c>
      <c r="AF47" s="1" t="s">
        <v>23</v>
      </c>
      <c r="AG47" s="1">
        <v>871.0</v>
      </c>
      <c r="AH47" s="6">
        <v>53787.0</v>
      </c>
      <c r="AI47" s="6">
        <v>262415.0</v>
      </c>
      <c r="AJ47" s="6">
        <v>14.0</v>
      </c>
      <c r="AK47" s="6"/>
      <c r="AL47" s="3">
        <f t="shared" si="4"/>
        <v>3</v>
      </c>
    </row>
    <row r="48">
      <c r="A48" s="1" t="s">
        <v>68</v>
      </c>
      <c r="B48" s="2">
        <v>299011.0</v>
      </c>
      <c r="C48" s="1">
        <v>11.0</v>
      </c>
      <c r="E48" s="1">
        <v>3.0</v>
      </c>
      <c r="F48" s="1"/>
      <c r="G48" s="1"/>
      <c r="H48" s="1"/>
      <c r="I48" s="1"/>
      <c r="J48" s="1"/>
      <c r="K48" s="1" t="s">
        <v>23</v>
      </c>
      <c r="L48" s="1">
        <v>1119.0</v>
      </c>
      <c r="M48" s="6">
        <v>30259.0</v>
      </c>
      <c r="N48" s="6">
        <v>81299.0</v>
      </c>
      <c r="O48" s="6">
        <v>8.0</v>
      </c>
      <c r="P48" s="6"/>
      <c r="Q48" s="1">
        <v>2.0</v>
      </c>
      <c r="R48" s="1" t="s">
        <v>23</v>
      </c>
      <c r="S48" s="1">
        <v>542.0</v>
      </c>
      <c r="T48" s="6">
        <v>50545.0</v>
      </c>
      <c r="U48" s="6">
        <v>346913.0</v>
      </c>
      <c r="V48" s="6">
        <v>15.0</v>
      </c>
      <c r="W48" s="6"/>
      <c r="X48" s="1">
        <v>1.0</v>
      </c>
      <c r="Y48" s="1" t="s">
        <v>23</v>
      </c>
      <c r="Z48" s="1">
        <v>1184.0</v>
      </c>
      <c r="AA48" s="6">
        <v>53026.0</v>
      </c>
      <c r="AB48" s="6">
        <v>136765.0</v>
      </c>
      <c r="AC48" s="6">
        <v>13.0</v>
      </c>
      <c r="AD48" s="6"/>
      <c r="AE48" s="1">
        <v>1.0</v>
      </c>
      <c r="AF48" s="1" t="s">
        <v>23</v>
      </c>
      <c r="AG48" s="1">
        <v>1393.0</v>
      </c>
      <c r="AH48" s="6">
        <v>49854.0</v>
      </c>
      <c r="AI48" s="6">
        <v>189649.0</v>
      </c>
      <c r="AJ48" s="6">
        <v>11.0</v>
      </c>
      <c r="AK48" s="6"/>
      <c r="AL48" s="3">
        <f t="shared" si="4"/>
        <v>4</v>
      </c>
    </row>
    <row r="49">
      <c r="A49" s="1" t="s">
        <v>69</v>
      </c>
      <c r="B49" s="2">
        <v>283922.0</v>
      </c>
      <c r="C49" s="1">
        <v>9.0</v>
      </c>
      <c r="E49" s="1">
        <v>18.0</v>
      </c>
      <c r="F49" s="1"/>
      <c r="G49" s="1"/>
      <c r="H49" s="1"/>
      <c r="I49" s="1"/>
      <c r="J49" s="1"/>
      <c r="K49" s="1" t="s">
        <v>21</v>
      </c>
      <c r="L49" s="1"/>
      <c r="M49" s="6">
        <v>36474.0</v>
      </c>
      <c r="N49" s="6"/>
      <c r="O49" s="6"/>
      <c r="P49" s="6"/>
      <c r="Q49" s="1">
        <v>246.0</v>
      </c>
      <c r="R49" s="1" t="s">
        <v>23</v>
      </c>
      <c r="S49" s="1">
        <v>902.0</v>
      </c>
      <c r="T49" s="6">
        <v>42136.0</v>
      </c>
      <c r="U49" s="6">
        <v>404674.0</v>
      </c>
      <c r="V49" s="6">
        <v>14.0</v>
      </c>
      <c r="W49" s="6"/>
      <c r="X49" s="1">
        <v>107.0</v>
      </c>
      <c r="Y49" s="1" t="s">
        <v>23</v>
      </c>
      <c r="Z49" s="1">
        <v>991.0</v>
      </c>
      <c r="AA49" s="6">
        <v>42618.0</v>
      </c>
      <c r="AB49" s="6">
        <v>151851.0</v>
      </c>
      <c r="AC49" s="6">
        <v>10.0</v>
      </c>
      <c r="AD49" s="6"/>
      <c r="AE49" s="1">
        <v>107.0</v>
      </c>
      <c r="AF49" s="1" t="s">
        <v>22</v>
      </c>
      <c r="AG49" s="1"/>
      <c r="AH49" s="6">
        <v>49967.0</v>
      </c>
      <c r="AI49" s="6"/>
      <c r="AJ49" s="6"/>
      <c r="AK49" s="6"/>
      <c r="AL49" s="3">
        <f t="shared" si="4"/>
        <v>2</v>
      </c>
    </row>
    <row r="50">
      <c r="A50" s="1" t="s">
        <v>70</v>
      </c>
      <c r="B50" s="2">
        <v>178566.0</v>
      </c>
      <c r="C50" s="1">
        <v>13.0</v>
      </c>
      <c r="E50" s="1">
        <v>1.0</v>
      </c>
      <c r="F50" s="1"/>
      <c r="G50" s="1"/>
      <c r="H50" s="1"/>
      <c r="I50" s="1"/>
      <c r="J50" s="1"/>
      <c r="K50" s="1" t="s">
        <v>21</v>
      </c>
      <c r="L50" s="1"/>
      <c r="M50" s="6">
        <v>15328.0</v>
      </c>
      <c r="N50" s="6"/>
      <c r="O50" s="6"/>
      <c r="P50" s="6"/>
      <c r="Q50" s="1">
        <v>67.0</v>
      </c>
      <c r="R50" s="1" t="s">
        <v>23</v>
      </c>
      <c r="S50" s="1">
        <v>956.0</v>
      </c>
      <c r="T50" s="6">
        <v>69003.0</v>
      </c>
      <c r="U50" s="6">
        <v>183653.0</v>
      </c>
      <c r="V50" s="6">
        <v>18.0</v>
      </c>
      <c r="W50" s="6"/>
      <c r="X50" s="1">
        <v>2.0</v>
      </c>
      <c r="Y50" s="1" t="s">
        <v>23</v>
      </c>
      <c r="Z50" s="1">
        <v>1367.0</v>
      </c>
      <c r="AA50" s="6">
        <v>68223.0</v>
      </c>
      <c r="AB50" s="6">
        <v>147528.0</v>
      </c>
      <c r="AC50" s="6">
        <v>11.0</v>
      </c>
      <c r="AD50" s="6"/>
      <c r="AE50" s="1">
        <v>1.0</v>
      </c>
      <c r="AF50" s="1" t="s">
        <v>23</v>
      </c>
      <c r="AG50" s="1">
        <v>1032.0</v>
      </c>
      <c r="AH50" s="6">
        <v>64858.0</v>
      </c>
      <c r="AI50" s="6">
        <v>119496.0</v>
      </c>
      <c r="AJ50" s="6">
        <v>18.0</v>
      </c>
      <c r="AK50" s="6"/>
      <c r="AL50" s="3">
        <f t="shared" si="4"/>
        <v>3</v>
      </c>
    </row>
    <row r="51">
      <c r="A51" s="1" t="s">
        <v>71</v>
      </c>
      <c r="B51" s="2">
        <v>244717.0</v>
      </c>
      <c r="C51" s="1">
        <v>17.0</v>
      </c>
      <c r="E51" s="1">
        <v>1.0</v>
      </c>
      <c r="F51" s="1"/>
      <c r="G51" s="1"/>
      <c r="H51" s="1"/>
      <c r="I51" s="1"/>
      <c r="J51" s="1"/>
      <c r="K51" s="1" t="s">
        <v>21</v>
      </c>
      <c r="L51" s="1"/>
      <c r="M51" s="6">
        <v>32018.0</v>
      </c>
      <c r="N51" s="6"/>
      <c r="O51" s="6"/>
      <c r="P51" s="6"/>
      <c r="Q51" s="1">
        <v>109.0</v>
      </c>
      <c r="R51" s="1" t="s">
        <v>22</v>
      </c>
      <c r="S51" s="1"/>
      <c r="T51" s="6">
        <v>46407.0</v>
      </c>
      <c r="U51" s="6"/>
      <c r="V51" s="6"/>
      <c r="W51" s="6"/>
      <c r="X51" s="1">
        <v>156.0</v>
      </c>
      <c r="Y51" s="1" t="s">
        <v>22</v>
      </c>
      <c r="Z51" s="1"/>
      <c r="AA51" s="6">
        <v>88974.0</v>
      </c>
      <c r="AB51" s="6"/>
      <c r="AC51" s="6"/>
      <c r="AD51" s="6"/>
      <c r="AE51" s="1">
        <v>159.0</v>
      </c>
      <c r="AF51" s="1" t="s">
        <v>22</v>
      </c>
      <c r="AG51" s="1"/>
      <c r="AH51" s="6">
        <v>53683.0</v>
      </c>
      <c r="AI51" s="6"/>
      <c r="AJ51" s="6"/>
      <c r="AK51" s="6"/>
      <c r="AL51" s="3">
        <f t="shared" si="4"/>
        <v>0</v>
      </c>
    </row>
    <row r="52">
      <c r="A52" s="1" t="s">
        <v>72</v>
      </c>
      <c r="B52" s="2">
        <v>226326.0</v>
      </c>
      <c r="C52" s="1">
        <v>10.0</v>
      </c>
      <c r="E52" s="1">
        <v>12.0</v>
      </c>
      <c r="F52" s="1"/>
      <c r="G52" s="1"/>
      <c r="H52" s="1"/>
      <c r="I52" s="1"/>
      <c r="J52" s="1"/>
      <c r="K52" s="1" t="s">
        <v>22</v>
      </c>
      <c r="L52" s="1"/>
      <c r="M52" s="6">
        <v>28161.0</v>
      </c>
      <c r="N52" s="6"/>
      <c r="O52" s="6"/>
      <c r="P52" s="6"/>
      <c r="Q52" s="1">
        <v>104.0</v>
      </c>
      <c r="R52" s="1" t="s">
        <v>22</v>
      </c>
      <c r="S52" s="1"/>
      <c r="T52" s="6">
        <v>45182.0</v>
      </c>
      <c r="U52" s="6"/>
      <c r="V52" s="6"/>
      <c r="W52" s="6"/>
      <c r="X52" s="1">
        <v>43.0</v>
      </c>
      <c r="Y52" s="1" t="s">
        <v>23</v>
      </c>
      <c r="Z52" s="1">
        <v>928.0</v>
      </c>
      <c r="AA52" s="6">
        <v>42147.0</v>
      </c>
      <c r="AB52" s="6">
        <v>293312.0</v>
      </c>
      <c r="AC52" s="6">
        <v>11.0</v>
      </c>
      <c r="AD52" s="6"/>
      <c r="AE52" s="1">
        <v>1.0</v>
      </c>
      <c r="AF52" s="1" t="s">
        <v>23</v>
      </c>
      <c r="AG52" s="1">
        <v>861.0</v>
      </c>
      <c r="AH52" s="6">
        <v>41311.0</v>
      </c>
      <c r="AI52" s="6">
        <v>123852.0</v>
      </c>
      <c r="AJ52" s="6">
        <v>9.0</v>
      </c>
      <c r="AK52" s="6"/>
      <c r="AL52" s="3">
        <f t="shared" si="4"/>
        <v>2</v>
      </c>
    </row>
    <row r="53">
      <c r="A53" s="1" t="s">
        <v>73</v>
      </c>
      <c r="B53" s="2">
        <v>261325.0</v>
      </c>
      <c r="C53" s="1">
        <v>11.0</v>
      </c>
      <c r="E53" s="1">
        <v>109.0</v>
      </c>
      <c r="F53" s="1"/>
      <c r="G53" s="1"/>
      <c r="H53" s="1"/>
      <c r="I53" s="1"/>
      <c r="J53" s="1"/>
      <c r="K53" s="1" t="s">
        <v>21</v>
      </c>
      <c r="L53" s="1"/>
      <c r="M53" s="6">
        <v>34605.0</v>
      </c>
      <c r="N53" s="6"/>
      <c r="O53" s="6"/>
      <c r="P53" s="6"/>
      <c r="Q53" s="7">
        <v>113.0</v>
      </c>
      <c r="R53" s="8" t="s">
        <v>22</v>
      </c>
      <c r="S53" s="1" t="s">
        <v>67</v>
      </c>
      <c r="T53" s="1" t="s">
        <v>67</v>
      </c>
      <c r="U53" s="1" t="s">
        <v>67</v>
      </c>
      <c r="V53" s="1" t="s">
        <v>67</v>
      </c>
      <c r="W53" s="8"/>
      <c r="X53" s="7">
        <v>1.0</v>
      </c>
      <c r="Y53" s="1" t="s">
        <v>23</v>
      </c>
      <c r="Z53" s="1">
        <v>993.0</v>
      </c>
      <c r="AA53" s="6">
        <v>41188.0</v>
      </c>
      <c r="AB53" s="6">
        <v>144098.0</v>
      </c>
      <c r="AC53" s="6">
        <v>8.0</v>
      </c>
      <c r="AD53" s="6"/>
      <c r="AE53" s="7">
        <v>7.0</v>
      </c>
      <c r="AF53" s="1" t="s">
        <v>23</v>
      </c>
      <c r="AG53" s="1">
        <v>1147.0</v>
      </c>
      <c r="AH53" s="6">
        <v>47457.0</v>
      </c>
      <c r="AI53" s="6">
        <v>223882.0</v>
      </c>
      <c r="AJ53" s="6">
        <v>11.0</v>
      </c>
      <c r="AK53" s="6"/>
      <c r="AL53" s="3">
        <f t="shared" si="4"/>
        <v>2</v>
      </c>
    </row>
    <row r="54">
      <c r="A54" s="1" t="s">
        <v>74</v>
      </c>
      <c r="B54" s="2">
        <v>351330.0</v>
      </c>
      <c r="C54" s="1">
        <v>11.0</v>
      </c>
      <c r="E54" s="1">
        <v>3.0</v>
      </c>
      <c r="F54" s="1"/>
      <c r="G54" s="1"/>
      <c r="H54" s="1"/>
      <c r="I54" s="1"/>
      <c r="J54" s="1"/>
      <c r="K54" s="1" t="s">
        <v>21</v>
      </c>
      <c r="L54" s="1"/>
      <c r="M54" s="6">
        <v>31598.0</v>
      </c>
      <c r="N54" s="6"/>
      <c r="O54" s="6"/>
      <c r="P54" s="6"/>
      <c r="Q54" s="1">
        <v>175.0</v>
      </c>
      <c r="R54" s="1" t="s">
        <v>22</v>
      </c>
      <c r="S54" s="1"/>
      <c r="T54" s="6">
        <v>49808.0</v>
      </c>
      <c r="U54" s="6"/>
      <c r="V54" s="6"/>
      <c r="W54" s="6"/>
      <c r="X54" s="1">
        <v>3.0</v>
      </c>
      <c r="Y54" s="1" t="s">
        <v>23</v>
      </c>
      <c r="Z54" s="1">
        <v>1493.0</v>
      </c>
      <c r="AA54" s="6">
        <v>52775.0</v>
      </c>
      <c r="AB54" s="6">
        <v>370035.0</v>
      </c>
      <c r="AC54" s="6">
        <v>15.0</v>
      </c>
      <c r="AD54" s="6"/>
      <c r="AE54" s="1">
        <v>1.0</v>
      </c>
      <c r="AF54" s="1" t="s">
        <v>23</v>
      </c>
      <c r="AG54" s="1">
        <v>1361.0</v>
      </c>
      <c r="AH54" s="6">
        <v>44132.0</v>
      </c>
      <c r="AI54" s="6">
        <v>276238.0</v>
      </c>
      <c r="AJ54" s="6">
        <v>11.0</v>
      </c>
      <c r="AK54" s="6"/>
      <c r="AL54" s="3">
        <f t="shared" si="4"/>
        <v>2</v>
      </c>
    </row>
    <row r="55">
      <c r="A55" s="1" t="s">
        <v>75</v>
      </c>
      <c r="B55" s="2">
        <v>206837.0</v>
      </c>
      <c r="C55" s="1">
        <v>11.0</v>
      </c>
      <c r="E55" s="1">
        <v>2.0</v>
      </c>
      <c r="F55" s="1"/>
      <c r="G55" s="1"/>
      <c r="H55" s="1"/>
      <c r="I55" s="1"/>
      <c r="J55" s="1"/>
      <c r="K55" s="1" t="s">
        <v>23</v>
      </c>
      <c r="L55" s="1">
        <v>1266.0</v>
      </c>
      <c r="M55" s="6">
        <v>51830.0</v>
      </c>
      <c r="N55" s="6">
        <v>328258.0</v>
      </c>
      <c r="O55" s="6">
        <v>8.0</v>
      </c>
      <c r="P55" s="6"/>
      <c r="Q55" s="7">
        <v>15.0</v>
      </c>
      <c r="R55" s="9" t="s">
        <v>23</v>
      </c>
      <c r="S55" s="9">
        <v>783.0</v>
      </c>
      <c r="T55" s="6">
        <v>33423.0</v>
      </c>
      <c r="U55" s="6">
        <v>418107.0</v>
      </c>
      <c r="V55" s="6">
        <v>16.0</v>
      </c>
      <c r="W55" s="6"/>
      <c r="X55" s="7">
        <v>1.0</v>
      </c>
      <c r="Y55" s="1" t="s">
        <v>23</v>
      </c>
      <c r="Z55" s="1">
        <v>822.0</v>
      </c>
      <c r="AA55" s="6">
        <v>55107.0</v>
      </c>
      <c r="AB55" s="6">
        <v>88121.0</v>
      </c>
      <c r="AC55" s="6">
        <v>7.0</v>
      </c>
      <c r="AD55" s="6"/>
      <c r="AE55" s="7">
        <v>2.0</v>
      </c>
      <c r="AF55" s="1" t="s">
        <v>23</v>
      </c>
      <c r="AG55" s="1">
        <v>1186.0</v>
      </c>
      <c r="AH55" s="6">
        <v>52678.0</v>
      </c>
      <c r="AI55" s="6">
        <v>389738.0</v>
      </c>
      <c r="AJ55" s="6">
        <v>15.0</v>
      </c>
      <c r="AK55" s="6"/>
      <c r="AL55" s="3">
        <f t="shared" si="4"/>
        <v>4</v>
      </c>
    </row>
    <row r="65">
      <c r="A65" s="1" t="s">
        <v>12</v>
      </c>
      <c r="B65" s="4">
        <f t="shared" ref="B65:C65" si="5">MAX(B69:B118)</f>
        <v>26168502</v>
      </c>
      <c r="C65" s="3">
        <f t="shared" si="5"/>
        <v>22</v>
      </c>
      <c r="D65" s="1" t="s">
        <v>13</v>
      </c>
      <c r="E65" s="3">
        <f>AVERAGE(E69:E118)</f>
        <v>11.92</v>
      </c>
      <c r="Q65" s="3">
        <f>AVERAGE(Q69:Q118)</f>
        <v>67.3877551</v>
      </c>
      <c r="X65" s="3">
        <f>AVERAGE(X69:X118)</f>
        <v>15.04</v>
      </c>
      <c r="AE65" s="3">
        <f>AVERAGE(AE69:AE118)</f>
        <v>8.14</v>
      </c>
    </row>
    <row r="66">
      <c r="A66" s="1" t="s">
        <v>14</v>
      </c>
      <c r="B66" s="4">
        <f t="shared" ref="B66:C66" si="6">AVERAGE(B69:B118)</f>
        <v>12111989.58</v>
      </c>
      <c r="C66" s="3">
        <f t="shared" si="6"/>
        <v>12.7</v>
      </c>
      <c r="D66" s="1" t="s">
        <v>15</v>
      </c>
      <c r="E66" s="3">
        <f>(COUNTIF(K69:K118, "SUCCESS") / 50)</f>
        <v>0.16</v>
      </c>
      <c r="Q66" s="3">
        <f>(COUNTIF(R69:R118, "SUCCESS") / 50)</f>
        <v>0.18</v>
      </c>
      <c r="X66" s="3">
        <f>(COUNTIF(Y69:Y118, "SUCCESS") / 50)</f>
        <v>0.76</v>
      </c>
      <c r="AE66" s="3">
        <f>(COUNTIF(AF69:AF118, "SUCCESS") / 50)</f>
        <v>0.66</v>
      </c>
    </row>
    <row r="67">
      <c r="A67" s="1" t="s">
        <v>16</v>
      </c>
      <c r="B67" s="4">
        <f>Min(B69:B118)</f>
        <v>6360316</v>
      </c>
      <c r="C67" s="3">
        <f>MIN(C69:C118)</f>
        <v>7</v>
      </c>
      <c r="D67" s="1" t="s">
        <v>17</v>
      </c>
      <c r="E67" s="3">
        <f>MAX(E69:E118)</f>
        <v>137</v>
      </c>
      <c r="Q67" s="3">
        <f>MAX(Q69:Q118)</f>
        <v>452</v>
      </c>
      <c r="X67" s="3">
        <f>MAX(X69:X118)</f>
        <v>148</v>
      </c>
      <c r="AE67" s="3">
        <f>MAX(AE69:AE118)</f>
        <v>80</v>
      </c>
    </row>
    <row r="68">
      <c r="A68" s="1" t="s">
        <v>76</v>
      </c>
      <c r="Q68" s="8"/>
    </row>
    <row r="69">
      <c r="A69" s="1" t="s">
        <v>74</v>
      </c>
      <c r="B69" s="2">
        <v>1.0592244E7</v>
      </c>
      <c r="C69" s="1">
        <v>11.0</v>
      </c>
      <c r="E69" s="1">
        <v>5.0</v>
      </c>
      <c r="F69" s="1"/>
      <c r="G69" s="1"/>
      <c r="H69" s="1"/>
      <c r="I69" s="1"/>
      <c r="J69" s="1"/>
      <c r="K69" s="1" t="s">
        <v>21</v>
      </c>
      <c r="L69" s="1"/>
      <c r="M69" s="6">
        <v>33598.0</v>
      </c>
      <c r="N69" s="6"/>
      <c r="O69" s="6"/>
      <c r="P69" s="6"/>
      <c r="Q69" s="7">
        <v>265.0</v>
      </c>
      <c r="R69" s="8" t="s">
        <v>21</v>
      </c>
      <c r="S69" s="8"/>
      <c r="T69" s="6">
        <v>49539.0</v>
      </c>
      <c r="U69" s="6"/>
      <c r="V69" s="6"/>
      <c r="W69" s="6"/>
      <c r="X69" s="1">
        <v>21.0</v>
      </c>
      <c r="Y69" s="1" t="s">
        <v>23</v>
      </c>
      <c r="Z69" s="1">
        <v>1488.0</v>
      </c>
      <c r="AA69" s="6">
        <v>53252.0</v>
      </c>
      <c r="AB69" s="6">
        <v>224055.0</v>
      </c>
      <c r="AC69" s="6">
        <v>20.0</v>
      </c>
      <c r="AD69" s="6"/>
      <c r="AE69" s="1">
        <v>6.0</v>
      </c>
      <c r="AF69" s="1" t="s">
        <v>23</v>
      </c>
      <c r="AG69" s="1">
        <v>1400.0</v>
      </c>
      <c r="AH69" s="6">
        <v>49349.0</v>
      </c>
      <c r="AI69" s="6">
        <v>283818.0</v>
      </c>
      <c r="AJ69" s="6">
        <v>14.0</v>
      </c>
      <c r="AL69" s="3">
        <f t="shared" ref="AL69:AL118" si="7">COUNTIF(E69:AF69, "SUCCESS")</f>
        <v>2</v>
      </c>
      <c r="AM69" s="1" t="s">
        <v>74</v>
      </c>
    </row>
    <row r="70">
      <c r="A70" s="1" t="s">
        <v>20</v>
      </c>
      <c r="B70" s="2">
        <v>1.1045369E7</v>
      </c>
      <c r="C70" s="1">
        <v>12.0</v>
      </c>
      <c r="E70" s="1">
        <v>5.0</v>
      </c>
      <c r="F70" s="1"/>
      <c r="G70" s="1"/>
      <c r="H70" s="1"/>
      <c r="I70" s="1"/>
      <c r="J70" s="1"/>
      <c r="K70" s="1" t="s">
        <v>22</v>
      </c>
      <c r="L70" s="1"/>
      <c r="M70" s="6">
        <v>31102.0</v>
      </c>
      <c r="N70" s="6"/>
      <c r="O70" s="6"/>
      <c r="P70" s="6"/>
      <c r="Q70" s="7">
        <v>159.0</v>
      </c>
      <c r="R70" s="9" t="s">
        <v>23</v>
      </c>
      <c r="S70" s="9">
        <v>1218.0</v>
      </c>
      <c r="T70" s="6">
        <v>48934.0</v>
      </c>
      <c r="U70" s="6">
        <v>339596.0</v>
      </c>
      <c r="V70" s="6">
        <v>15.0</v>
      </c>
      <c r="W70" s="6"/>
      <c r="X70" s="1">
        <v>1.0</v>
      </c>
      <c r="Y70" s="1" t="s">
        <v>23</v>
      </c>
      <c r="Z70" s="1">
        <v>1024.0</v>
      </c>
      <c r="AA70" s="6">
        <v>55211.0</v>
      </c>
      <c r="AB70" s="6">
        <v>377564.0</v>
      </c>
      <c r="AC70" s="6">
        <v>15.0</v>
      </c>
      <c r="AD70" s="6"/>
      <c r="AE70" s="1">
        <v>15.0</v>
      </c>
      <c r="AF70" s="1" t="s">
        <v>21</v>
      </c>
      <c r="AG70" s="1"/>
      <c r="AH70" s="6">
        <v>50094.0</v>
      </c>
      <c r="AI70" s="6"/>
      <c r="AJ70" s="6"/>
      <c r="AL70" s="3">
        <f t="shared" si="7"/>
        <v>2</v>
      </c>
      <c r="AM70" s="1" t="s">
        <v>20</v>
      </c>
    </row>
    <row r="71">
      <c r="A71" s="1" t="s">
        <v>24</v>
      </c>
      <c r="B71" s="2">
        <v>1.2164386E7</v>
      </c>
      <c r="C71" s="1">
        <v>13.0</v>
      </c>
      <c r="E71" s="1">
        <v>4.0</v>
      </c>
      <c r="F71" s="1"/>
      <c r="G71" s="1"/>
      <c r="H71" s="1"/>
      <c r="I71" s="1"/>
      <c r="J71" s="1"/>
      <c r="K71" s="1" t="s">
        <v>22</v>
      </c>
      <c r="L71" s="1"/>
      <c r="M71" s="6">
        <v>41999.0</v>
      </c>
      <c r="N71" s="6"/>
      <c r="O71" s="6"/>
      <c r="P71" s="6"/>
      <c r="Q71" s="7">
        <v>107.0</v>
      </c>
      <c r="R71" s="8" t="s">
        <v>22</v>
      </c>
      <c r="S71" s="8"/>
      <c r="T71" s="6">
        <v>40096.0</v>
      </c>
      <c r="U71" s="6"/>
      <c r="V71" s="6"/>
      <c r="W71" s="6"/>
      <c r="X71" s="1">
        <v>1.0</v>
      </c>
      <c r="Y71" s="1" t="s">
        <v>23</v>
      </c>
      <c r="Z71" s="1">
        <v>1276.0</v>
      </c>
      <c r="AA71" s="6">
        <v>58485.0</v>
      </c>
      <c r="AB71" s="6">
        <v>208001.0</v>
      </c>
      <c r="AC71" s="6">
        <v>17.0</v>
      </c>
      <c r="AD71" s="6"/>
      <c r="AE71" s="1">
        <v>11.0</v>
      </c>
      <c r="AF71" s="1" t="s">
        <v>23</v>
      </c>
      <c r="AG71" s="1">
        <v>1267.0</v>
      </c>
      <c r="AH71" s="6">
        <v>52946.0</v>
      </c>
      <c r="AI71" s="6">
        <v>159511.0</v>
      </c>
      <c r="AJ71" s="6">
        <v>11.0</v>
      </c>
      <c r="AL71" s="3">
        <f t="shared" si="7"/>
        <v>2</v>
      </c>
      <c r="AM71" s="1" t="s">
        <v>24</v>
      </c>
    </row>
    <row r="72">
      <c r="A72" s="1" t="s">
        <v>25</v>
      </c>
      <c r="B72" s="2">
        <v>1.6466623E7</v>
      </c>
      <c r="C72" s="1">
        <v>15.0</v>
      </c>
      <c r="E72" s="1">
        <v>3.0</v>
      </c>
      <c r="F72" s="1"/>
      <c r="G72" s="1"/>
      <c r="H72" s="1"/>
      <c r="I72" s="1"/>
      <c r="J72" s="1"/>
      <c r="K72" s="1" t="s">
        <v>21</v>
      </c>
      <c r="L72" s="1"/>
      <c r="M72" s="6">
        <v>36273.0</v>
      </c>
      <c r="N72" s="6"/>
      <c r="O72" s="6"/>
      <c r="P72" s="6"/>
      <c r="Q72" s="7">
        <v>2.0</v>
      </c>
      <c r="R72" s="8" t="s">
        <v>22</v>
      </c>
      <c r="S72" s="8"/>
      <c r="T72" s="6">
        <v>40096.0</v>
      </c>
      <c r="U72" s="6"/>
      <c r="V72" s="6"/>
      <c r="W72" s="6"/>
      <c r="X72" s="1">
        <v>12.0</v>
      </c>
      <c r="Y72" s="1" t="s">
        <v>23</v>
      </c>
      <c r="Z72" s="1">
        <v>1232.0</v>
      </c>
      <c r="AA72" s="6">
        <v>65056.0</v>
      </c>
      <c r="AB72" s="6">
        <v>181305.0</v>
      </c>
      <c r="AC72" s="6">
        <v>28.0</v>
      </c>
      <c r="AD72" s="6"/>
      <c r="AE72" s="1">
        <v>17.0</v>
      </c>
      <c r="AF72" s="1" t="s">
        <v>23</v>
      </c>
      <c r="AG72" s="1">
        <v>1247.0</v>
      </c>
      <c r="AH72" s="6">
        <v>77719.0</v>
      </c>
      <c r="AI72" s="6">
        <v>193749.0</v>
      </c>
      <c r="AJ72" s="6">
        <v>11.0</v>
      </c>
      <c r="AL72" s="3">
        <f t="shared" si="7"/>
        <v>2</v>
      </c>
      <c r="AM72" s="1" t="s">
        <v>25</v>
      </c>
    </row>
    <row r="73">
      <c r="A73" s="1" t="s">
        <v>35</v>
      </c>
      <c r="B73" s="2">
        <v>1.3162904E7</v>
      </c>
      <c r="C73" s="1">
        <v>13.0</v>
      </c>
      <c r="E73" s="1">
        <v>9.0</v>
      </c>
      <c r="F73" s="1"/>
      <c r="G73" s="1"/>
      <c r="H73" s="1"/>
      <c r="I73" s="1"/>
      <c r="J73" s="1"/>
      <c r="K73" s="1" t="s">
        <v>22</v>
      </c>
      <c r="L73" s="1"/>
      <c r="M73" s="6">
        <v>38572.0</v>
      </c>
      <c r="N73" s="6"/>
      <c r="O73" s="6"/>
      <c r="P73" s="6"/>
      <c r="Q73" s="7">
        <v>2.0</v>
      </c>
      <c r="R73" s="8" t="s">
        <v>22</v>
      </c>
      <c r="S73" s="8"/>
      <c r="T73" s="6">
        <v>61142.0</v>
      </c>
      <c r="U73" s="6"/>
      <c r="V73" s="6"/>
      <c r="W73" s="6"/>
      <c r="X73" s="1">
        <v>5.0</v>
      </c>
      <c r="Y73" s="1" t="s">
        <v>23</v>
      </c>
      <c r="Z73" s="1">
        <v>1172.0</v>
      </c>
      <c r="AA73" s="6">
        <v>61751.0</v>
      </c>
      <c r="AB73" s="6">
        <v>204181.0</v>
      </c>
      <c r="AC73" s="6">
        <v>26.0</v>
      </c>
      <c r="AD73" s="6"/>
      <c r="AE73" s="1">
        <v>7.0</v>
      </c>
      <c r="AF73" s="1" t="s">
        <v>23</v>
      </c>
      <c r="AG73" s="1">
        <v>1290.0</v>
      </c>
      <c r="AH73" s="6">
        <v>60102.0</v>
      </c>
      <c r="AI73" s="6">
        <v>432629.0</v>
      </c>
      <c r="AJ73" s="6">
        <v>16.0</v>
      </c>
      <c r="AL73" s="3">
        <f t="shared" si="7"/>
        <v>2</v>
      </c>
      <c r="AM73" s="1" t="s">
        <v>35</v>
      </c>
    </row>
    <row r="74">
      <c r="A74" s="1" t="s">
        <v>36</v>
      </c>
      <c r="B74" s="2">
        <v>8875083.0</v>
      </c>
      <c r="C74" s="1">
        <v>9.0</v>
      </c>
      <c r="E74" s="1">
        <v>4.0</v>
      </c>
      <c r="F74" s="1"/>
      <c r="G74" s="1"/>
      <c r="H74" s="1"/>
      <c r="I74" s="1"/>
      <c r="J74" s="1"/>
      <c r="K74" s="1" t="s">
        <v>22</v>
      </c>
      <c r="L74" s="1"/>
      <c r="M74" s="6">
        <v>36811.0</v>
      </c>
      <c r="N74" s="6"/>
      <c r="O74" s="6"/>
      <c r="P74" s="6"/>
      <c r="Q74" s="7">
        <v>2.0</v>
      </c>
      <c r="R74" s="8" t="s">
        <v>22</v>
      </c>
      <c r="S74" s="8"/>
      <c r="T74" s="6">
        <v>37884.0</v>
      </c>
      <c r="U74" s="6"/>
      <c r="V74" s="6"/>
      <c r="W74" s="6"/>
      <c r="X74" s="1">
        <v>1.0</v>
      </c>
      <c r="Y74" s="1" t="s">
        <v>23</v>
      </c>
      <c r="Z74" s="1">
        <v>947.0</v>
      </c>
      <c r="AA74" s="6">
        <v>38917.0</v>
      </c>
      <c r="AB74" s="6">
        <v>195580.0</v>
      </c>
      <c r="AC74" s="6">
        <v>11.0</v>
      </c>
      <c r="AD74" s="6"/>
      <c r="AE74" s="1">
        <v>1.0</v>
      </c>
      <c r="AF74" s="1" t="s">
        <v>23</v>
      </c>
      <c r="AG74" s="1">
        <v>939.0</v>
      </c>
      <c r="AH74" s="6">
        <v>40011.0</v>
      </c>
      <c r="AI74" s="6">
        <v>262292.0</v>
      </c>
      <c r="AJ74" s="6">
        <v>9.0</v>
      </c>
      <c r="AL74" s="3">
        <f t="shared" si="7"/>
        <v>2</v>
      </c>
      <c r="AM74" s="1" t="s">
        <v>36</v>
      </c>
    </row>
    <row r="75">
      <c r="A75" s="1" t="s">
        <v>72</v>
      </c>
      <c r="B75" s="2">
        <v>1.0510617E7</v>
      </c>
      <c r="C75" s="1">
        <v>10.0</v>
      </c>
      <c r="E75" s="1">
        <v>137.0</v>
      </c>
      <c r="F75" s="1"/>
      <c r="G75" s="1"/>
      <c r="H75" s="1"/>
      <c r="I75" s="1"/>
      <c r="J75" s="1"/>
      <c r="K75" s="1" t="s">
        <v>22</v>
      </c>
      <c r="L75" s="1"/>
      <c r="M75" s="6">
        <v>28371.0</v>
      </c>
      <c r="N75" s="6"/>
      <c r="O75" s="6"/>
      <c r="P75" s="6"/>
      <c r="Q75" s="7">
        <v>2.0</v>
      </c>
      <c r="R75" s="8" t="s">
        <v>22</v>
      </c>
      <c r="S75" s="8"/>
      <c r="T75" s="6">
        <v>61522.0</v>
      </c>
      <c r="U75" s="6"/>
      <c r="V75" s="6"/>
      <c r="W75" s="6"/>
      <c r="X75" s="1">
        <v>1.0</v>
      </c>
      <c r="Y75" s="1" t="s">
        <v>23</v>
      </c>
      <c r="Z75" s="1">
        <v>217.0</v>
      </c>
      <c r="AA75" s="6">
        <v>647.0</v>
      </c>
      <c r="AB75" s="6">
        <v>25407.0</v>
      </c>
      <c r="AC75" s="6">
        <v>2.0</v>
      </c>
      <c r="AD75" s="6"/>
      <c r="AE75" s="1">
        <v>9.0</v>
      </c>
      <c r="AF75" s="1" t="s">
        <v>23</v>
      </c>
      <c r="AG75" s="1">
        <v>482.0</v>
      </c>
      <c r="AH75" s="6">
        <v>3002.0</v>
      </c>
      <c r="AI75" s="6">
        <v>113787.0</v>
      </c>
      <c r="AJ75" s="6">
        <v>2.0</v>
      </c>
      <c r="AL75" s="3">
        <f t="shared" si="7"/>
        <v>2</v>
      </c>
      <c r="AM75" s="1" t="s">
        <v>72</v>
      </c>
    </row>
    <row r="76">
      <c r="A76" s="1" t="s">
        <v>37</v>
      </c>
      <c r="B76" s="2">
        <v>1.3511358E7</v>
      </c>
      <c r="C76" s="1">
        <v>14.0</v>
      </c>
      <c r="E76" s="1">
        <v>5.0</v>
      </c>
      <c r="F76" s="1"/>
      <c r="G76" s="1"/>
      <c r="H76" s="1"/>
      <c r="I76" s="1"/>
      <c r="J76" s="1"/>
      <c r="K76" s="1" t="s">
        <v>22</v>
      </c>
      <c r="L76" s="1"/>
      <c r="M76" s="6">
        <v>21543.0</v>
      </c>
      <c r="N76" s="6"/>
      <c r="O76" s="6"/>
      <c r="P76" s="6"/>
      <c r="Q76" s="7">
        <v>2.0</v>
      </c>
      <c r="R76" s="8" t="s">
        <v>22</v>
      </c>
      <c r="S76" s="8"/>
      <c r="T76" s="6">
        <v>61522.0</v>
      </c>
      <c r="U76" s="6"/>
      <c r="V76" s="6"/>
      <c r="W76" s="6"/>
      <c r="X76" s="1">
        <v>5.0</v>
      </c>
      <c r="Y76" s="1" t="s">
        <v>23</v>
      </c>
      <c r="Z76" s="1">
        <v>1099.0</v>
      </c>
      <c r="AA76" s="6">
        <v>66457.0</v>
      </c>
      <c r="AB76" s="6">
        <v>160206.0</v>
      </c>
      <c r="AC76" s="6">
        <v>12.0</v>
      </c>
      <c r="AD76" s="6"/>
      <c r="AE76" s="1">
        <v>1.0</v>
      </c>
      <c r="AF76" s="1" t="s">
        <v>23</v>
      </c>
      <c r="AG76" s="1">
        <v>1056.0</v>
      </c>
      <c r="AH76" s="6">
        <v>63299.0</v>
      </c>
      <c r="AI76" s="6">
        <v>172732.0</v>
      </c>
      <c r="AJ76" s="6">
        <v>18.0</v>
      </c>
      <c r="AL76" s="3">
        <f t="shared" si="7"/>
        <v>2</v>
      </c>
      <c r="AM76" s="1" t="s">
        <v>37</v>
      </c>
    </row>
    <row r="77">
      <c r="A77" s="1" t="s">
        <v>38</v>
      </c>
      <c r="B77" s="2">
        <v>1.1967589E7</v>
      </c>
      <c r="C77" s="1">
        <v>11.0</v>
      </c>
      <c r="E77" s="1">
        <v>3.0</v>
      </c>
      <c r="F77" s="1"/>
      <c r="G77" s="1"/>
      <c r="H77" s="1"/>
      <c r="I77" s="1"/>
      <c r="J77" s="1"/>
      <c r="K77" s="1" t="s">
        <v>23</v>
      </c>
      <c r="L77" s="1">
        <v>985.0</v>
      </c>
      <c r="M77" s="6">
        <v>35969.0</v>
      </c>
      <c r="N77" s="6">
        <v>322787.0</v>
      </c>
      <c r="O77" s="6">
        <v>11.0</v>
      </c>
      <c r="P77" s="6"/>
      <c r="Q77" s="7">
        <v>2.0</v>
      </c>
      <c r="R77" s="9" t="s">
        <v>23</v>
      </c>
      <c r="S77" s="9">
        <v>1329.0</v>
      </c>
      <c r="T77" s="6">
        <v>56471.0</v>
      </c>
      <c r="U77" s="6">
        <v>335537.0</v>
      </c>
      <c r="V77" s="6">
        <v>17.0</v>
      </c>
      <c r="W77" s="6"/>
      <c r="X77" s="1">
        <v>4.0</v>
      </c>
      <c r="Y77" s="1" t="s">
        <v>23</v>
      </c>
      <c r="Z77" s="1">
        <v>1375.0</v>
      </c>
      <c r="AA77" s="6">
        <v>60125.0</v>
      </c>
      <c r="AB77" s="6">
        <v>137368.0</v>
      </c>
      <c r="AC77" s="6">
        <v>25.0</v>
      </c>
      <c r="AD77" s="6"/>
      <c r="AE77" s="1">
        <v>1.0</v>
      </c>
      <c r="AF77" s="1" t="s">
        <v>23</v>
      </c>
      <c r="AG77" s="1">
        <v>941.0</v>
      </c>
      <c r="AH77" s="6">
        <v>40876.0</v>
      </c>
      <c r="AI77" s="6">
        <v>103698.0</v>
      </c>
      <c r="AJ77" s="6">
        <v>13.0</v>
      </c>
      <c r="AL77" s="3">
        <f t="shared" si="7"/>
        <v>4</v>
      </c>
      <c r="AM77" s="1" t="s">
        <v>38</v>
      </c>
    </row>
    <row r="78">
      <c r="A78" s="1" t="s">
        <v>39</v>
      </c>
      <c r="B78" s="2">
        <v>7174068.0</v>
      </c>
      <c r="C78" s="1">
        <v>8.0</v>
      </c>
      <c r="E78" s="1">
        <v>2.0</v>
      </c>
      <c r="F78" s="1"/>
      <c r="G78" s="1"/>
      <c r="H78" s="1"/>
      <c r="I78" s="1"/>
      <c r="J78" s="1"/>
      <c r="K78" s="1" t="s">
        <v>22</v>
      </c>
      <c r="L78" s="1"/>
      <c r="M78" s="6">
        <v>34550.0</v>
      </c>
      <c r="N78" s="6"/>
      <c r="O78" s="6"/>
      <c r="P78" s="6"/>
      <c r="Q78" s="7">
        <v>2.0</v>
      </c>
      <c r="R78" s="8" t="s">
        <v>22</v>
      </c>
      <c r="S78" s="8"/>
      <c r="T78" s="6">
        <v>33639.0</v>
      </c>
      <c r="U78" s="6"/>
      <c r="V78" s="6"/>
      <c r="W78" s="6"/>
      <c r="X78" s="1">
        <v>2.0</v>
      </c>
      <c r="Y78" s="1" t="s">
        <v>22</v>
      </c>
      <c r="Z78" s="1"/>
      <c r="AA78" s="6">
        <v>34326.0</v>
      </c>
      <c r="AB78" s="6"/>
      <c r="AC78" s="6"/>
      <c r="AD78" s="6"/>
      <c r="AE78" s="1">
        <v>2.0</v>
      </c>
      <c r="AF78" s="1" t="s">
        <v>22</v>
      </c>
      <c r="AG78" s="1"/>
      <c r="AH78" s="6">
        <v>36185.0</v>
      </c>
      <c r="AI78" s="6"/>
      <c r="AJ78" s="6"/>
      <c r="AL78" s="3">
        <f t="shared" si="7"/>
        <v>0</v>
      </c>
      <c r="AM78" s="1" t="s">
        <v>39</v>
      </c>
    </row>
    <row r="79">
      <c r="A79" s="1" t="s">
        <v>40</v>
      </c>
      <c r="B79" s="2">
        <v>9156486.0</v>
      </c>
      <c r="C79" s="1">
        <v>10.0</v>
      </c>
      <c r="E79" s="1">
        <v>2.0</v>
      </c>
      <c r="F79" s="1"/>
      <c r="G79" s="1"/>
      <c r="H79" s="1"/>
      <c r="I79" s="1"/>
      <c r="J79" s="1"/>
      <c r="K79" s="1" t="s">
        <v>22</v>
      </c>
      <c r="L79" s="1"/>
      <c r="M79" s="6">
        <v>45779.0</v>
      </c>
      <c r="N79" s="6"/>
      <c r="O79" s="6"/>
      <c r="P79" s="6"/>
      <c r="Q79" s="7">
        <v>2.0</v>
      </c>
      <c r="R79" s="8" t="s">
        <v>22</v>
      </c>
      <c r="S79" s="8"/>
      <c r="T79" s="6">
        <v>45275.0</v>
      </c>
      <c r="U79" s="6"/>
      <c r="V79" s="6"/>
      <c r="W79" s="6"/>
      <c r="X79" s="1">
        <v>2.0</v>
      </c>
      <c r="Y79" s="1" t="s">
        <v>22</v>
      </c>
      <c r="Z79" s="1"/>
      <c r="AA79" s="6">
        <v>46811.0</v>
      </c>
      <c r="AB79" s="6"/>
      <c r="AC79" s="6"/>
      <c r="AD79" s="6"/>
      <c r="AE79" s="1">
        <v>2.0</v>
      </c>
      <c r="AF79" s="1" t="s">
        <v>22</v>
      </c>
      <c r="AG79" s="1"/>
      <c r="AH79" s="6">
        <v>33820.0</v>
      </c>
      <c r="AI79" s="6"/>
      <c r="AJ79" s="6"/>
      <c r="AL79" s="3">
        <f t="shared" si="7"/>
        <v>0</v>
      </c>
      <c r="AM79" s="1" t="s">
        <v>40</v>
      </c>
    </row>
    <row r="80">
      <c r="A80" s="1" t="s">
        <v>41</v>
      </c>
      <c r="B80" s="2">
        <v>1.1491416E7</v>
      </c>
      <c r="C80" s="1">
        <v>13.0</v>
      </c>
      <c r="E80" s="1">
        <v>1.0</v>
      </c>
      <c r="F80" s="1"/>
      <c r="G80" s="1"/>
      <c r="H80" s="1"/>
      <c r="I80" s="1"/>
      <c r="J80" s="1"/>
      <c r="K80" s="1" t="s">
        <v>23</v>
      </c>
      <c r="L80" s="1">
        <v>67.0</v>
      </c>
      <c r="M80" s="6">
        <v>3722.0</v>
      </c>
      <c r="N80" s="6">
        <v>163729.0</v>
      </c>
      <c r="O80" s="6">
        <v>2.0</v>
      </c>
      <c r="P80" s="6"/>
      <c r="Q80" s="8"/>
      <c r="R80" s="9" t="s">
        <v>77</v>
      </c>
      <c r="S80" s="9"/>
      <c r="X80" s="1">
        <v>1.0</v>
      </c>
      <c r="Y80" s="1" t="s">
        <v>23</v>
      </c>
      <c r="Z80" s="1">
        <v>1099.0</v>
      </c>
      <c r="AA80" s="6">
        <v>55654.0</v>
      </c>
      <c r="AB80" s="6">
        <v>275224.0</v>
      </c>
      <c r="AC80" s="6">
        <v>14.0</v>
      </c>
      <c r="AD80" s="6"/>
      <c r="AE80" s="1">
        <v>3.0</v>
      </c>
      <c r="AF80" s="1" t="s">
        <v>23</v>
      </c>
      <c r="AG80" s="1">
        <v>1047.0</v>
      </c>
      <c r="AH80" s="6">
        <v>55139.0</v>
      </c>
      <c r="AI80" s="6">
        <v>328765.0</v>
      </c>
      <c r="AJ80" s="6">
        <v>13.0</v>
      </c>
      <c r="AL80" s="3">
        <f t="shared" si="7"/>
        <v>3</v>
      </c>
      <c r="AM80" s="1" t="s">
        <v>41</v>
      </c>
    </row>
    <row r="81">
      <c r="A81" s="1" t="s">
        <v>42</v>
      </c>
      <c r="B81" s="2">
        <v>1.2220705E7</v>
      </c>
      <c r="C81" s="1">
        <v>13.0</v>
      </c>
      <c r="E81" s="1">
        <v>2.0</v>
      </c>
      <c r="F81" s="1"/>
      <c r="G81" s="1"/>
      <c r="H81" s="1"/>
      <c r="I81" s="1"/>
      <c r="J81" s="1"/>
      <c r="K81" s="1" t="s">
        <v>22</v>
      </c>
      <c r="L81" s="1"/>
      <c r="M81" s="6">
        <v>32655.0</v>
      </c>
      <c r="N81" s="6"/>
      <c r="O81" s="6"/>
      <c r="P81" s="6"/>
      <c r="Q81" s="7">
        <v>2.0</v>
      </c>
      <c r="R81" s="8" t="s">
        <v>22</v>
      </c>
      <c r="S81" s="8"/>
      <c r="T81" s="6">
        <v>54741.0</v>
      </c>
      <c r="U81" s="6"/>
      <c r="V81" s="6"/>
      <c r="W81" s="6"/>
      <c r="X81" s="1">
        <v>2.0</v>
      </c>
      <c r="Y81" s="1" t="s">
        <v>22</v>
      </c>
      <c r="Z81" s="1"/>
      <c r="AA81" s="6">
        <v>56461.0</v>
      </c>
      <c r="AB81" s="6"/>
      <c r="AC81" s="6"/>
      <c r="AD81" s="6"/>
      <c r="AE81" s="1">
        <v>2.0</v>
      </c>
      <c r="AF81" s="1" t="s">
        <v>22</v>
      </c>
      <c r="AG81" s="1"/>
      <c r="AH81" s="6">
        <v>55744.0</v>
      </c>
      <c r="AI81" s="6"/>
      <c r="AJ81" s="6"/>
      <c r="AL81" s="3">
        <f t="shared" si="7"/>
        <v>0</v>
      </c>
      <c r="AM81" s="1" t="s">
        <v>42</v>
      </c>
    </row>
    <row r="82">
      <c r="A82" s="1" t="s">
        <v>43</v>
      </c>
      <c r="B82" s="2">
        <v>1.2477237E7</v>
      </c>
      <c r="C82" s="1">
        <v>13.0</v>
      </c>
      <c r="E82" s="1">
        <v>2.0</v>
      </c>
      <c r="F82" s="1"/>
      <c r="G82" s="1"/>
      <c r="H82" s="1"/>
      <c r="I82" s="1"/>
      <c r="J82" s="1"/>
      <c r="K82" s="1" t="s">
        <v>22</v>
      </c>
      <c r="L82" s="1"/>
      <c r="M82" s="6">
        <v>35378.0</v>
      </c>
      <c r="N82" s="6"/>
      <c r="O82" s="6"/>
      <c r="P82" s="6"/>
      <c r="Q82" s="7">
        <v>2.0</v>
      </c>
      <c r="R82" s="8" t="s">
        <v>22</v>
      </c>
      <c r="S82" s="8"/>
      <c r="T82" s="6">
        <v>61729.0</v>
      </c>
      <c r="U82" s="6"/>
      <c r="V82" s="6"/>
      <c r="W82" s="6"/>
      <c r="X82" s="1">
        <v>2.0</v>
      </c>
      <c r="Y82" s="1" t="s">
        <v>22</v>
      </c>
      <c r="Z82" s="1"/>
      <c r="AA82" s="6">
        <v>59468.0</v>
      </c>
      <c r="AB82" s="6"/>
      <c r="AC82" s="6"/>
      <c r="AD82" s="6"/>
      <c r="AE82" s="1">
        <v>2.0</v>
      </c>
      <c r="AF82" s="1" t="s">
        <v>22</v>
      </c>
      <c r="AG82" s="1"/>
      <c r="AH82" s="6">
        <v>53703.0</v>
      </c>
      <c r="AI82" s="6"/>
      <c r="AJ82" s="6"/>
      <c r="AL82" s="3">
        <f t="shared" si="7"/>
        <v>0</v>
      </c>
      <c r="AM82" s="1" t="s">
        <v>43</v>
      </c>
    </row>
    <row r="83">
      <c r="A83" s="1" t="s">
        <v>44</v>
      </c>
      <c r="B83" s="2">
        <v>1.0933684E7</v>
      </c>
      <c r="C83" s="1">
        <v>12.0</v>
      </c>
      <c r="E83" s="1">
        <v>2.0</v>
      </c>
      <c r="F83" s="1"/>
      <c r="G83" s="1"/>
      <c r="H83" s="1"/>
      <c r="I83" s="1"/>
      <c r="J83" s="1"/>
      <c r="K83" s="1" t="s">
        <v>22</v>
      </c>
      <c r="L83" s="1"/>
      <c r="M83" s="6">
        <v>36184.0</v>
      </c>
      <c r="N83" s="6"/>
      <c r="O83" s="6"/>
      <c r="P83" s="6"/>
      <c r="Q83" s="7">
        <v>2.0</v>
      </c>
      <c r="R83" s="8" t="s">
        <v>22</v>
      </c>
      <c r="S83" s="8"/>
      <c r="T83" s="6">
        <v>51698.0</v>
      </c>
      <c r="U83" s="6"/>
      <c r="V83" s="6"/>
      <c r="W83" s="6"/>
      <c r="X83" s="1">
        <v>2.0</v>
      </c>
      <c r="Y83" s="1" t="s">
        <v>22</v>
      </c>
      <c r="Z83" s="1"/>
      <c r="AA83" s="6">
        <v>50505.0</v>
      </c>
      <c r="AB83" s="6"/>
      <c r="AC83" s="6"/>
      <c r="AD83" s="6"/>
      <c r="AE83" s="1">
        <v>2.0</v>
      </c>
      <c r="AF83" s="1" t="s">
        <v>22</v>
      </c>
      <c r="AG83" s="1"/>
      <c r="AH83" s="6">
        <v>44625.0</v>
      </c>
      <c r="AI83" s="6"/>
      <c r="AJ83" s="6"/>
      <c r="AL83" s="3">
        <f t="shared" si="7"/>
        <v>0</v>
      </c>
      <c r="AM83" s="1" t="s">
        <v>44</v>
      </c>
    </row>
    <row r="84">
      <c r="A84" s="1" t="s">
        <v>45</v>
      </c>
      <c r="B84" s="2">
        <v>1.223321E7</v>
      </c>
      <c r="C84" s="1">
        <v>15.0</v>
      </c>
      <c r="E84" s="1">
        <v>2.0</v>
      </c>
      <c r="F84" s="1"/>
      <c r="G84" s="1"/>
      <c r="H84" s="1"/>
      <c r="I84" s="1"/>
      <c r="J84" s="1"/>
      <c r="K84" s="1" t="s">
        <v>22</v>
      </c>
      <c r="L84" s="1"/>
      <c r="M84" s="6">
        <v>34308.0</v>
      </c>
      <c r="N84" s="6"/>
      <c r="O84" s="6"/>
      <c r="P84" s="6"/>
      <c r="Q84" s="7">
        <v>2.0</v>
      </c>
      <c r="R84" s="8" t="s">
        <v>22</v>
      </c>
      <c r="S84" s="8"/>
      <c r="T84" s="6">
        <v>59276.0</v>
      </c>
      <c r="U84" s="6"/>
      <c r="V84" s="6"/>
      <c r="W84" s="6"/>
      <c r="X84" s="1">
        <v>2.0</v>
      </c>
      <c r="Y84" s="1" t="s">
        <v>22</v>
      </c>
      <c r="Z84" s="1"/>
      <c r="AA84" s="6">
        <v>42100.0</v>
      </c>
      <c r="AB84" s="6"/>
      <c r="AC84" s="6"/>
      <c r="AD84" s="6"/>
      <c r="AE84" s="1">
        <v>2.0</v>
      </c>
      <c r="AF84" s="1" t="s">
        <v>22</v>
      </c>
      <c r="AG84" s="1"/>
      <c r="AH84" s="6">
        <v>59521.0</v>
      </c>
      <c r="AI84" s="6"/>
      <c r="AJ84" s="6"/>
      <c r="AL84" s="3">
        <f t="shared" si="7"/>
        <v>0</v>
      </c>
      <c r="AM84" s="1" t="s">
        <v>45</v>
      </c>
    </row>
    <row r="85">
      <c r="A85" s="1" t="s">
        <v>46</v>
      </c>
      <c r="B85" s="2">
        <v>1.2713157E7</v>
      </c>
      <c r="C85" s="1">
        <v>15.0</v>
      </c>
      <c r="E85" s="1">
        <v>2.0</v>
      </c>
      <c r="F85" s="1"/>
      <c r="G85" s="1"/>
      <c r="H85" s="1"/>
      <c r="I85" s="1"/>
      <c r="J85" s="1"/>
      <c r="K85" s="1" t="s">
        <v>22</v>
      </c>
      <c r="L85" s="1"/>
      <c r="M85" s="6">
        <v>4509.0</v>
      </c>
      <c r="N85" s="6"/>
      <c r="O85" s="6"/>
      <c r="P85" s="6"/>
      <c r="Q85" s="7">
        <v>2.0</v>
      </c>
      <c r="R85" s="8" t="s">
        <v>22</v>
      </c>
      <c r="S85" s="8"/>
      <c r="T85" s="6">
        <v>56577.0</v>
      </c>
      <c r="U85" s="6"/>
      <c r="V85" s="6"/>
      <c r="W85" s="6"/>
      <c r="X85" s="1">
        <v>2.0</v>
      </c>
      <c r="Y85" s="1" t="s">
        <v>22</v>
      </c>
      <c r="Z85" s="1"/>
      <c r="AA85" s="6">
        <v>56337.0</v>
      </c>
      <c r="AB85" s="6"/>
      <c r="AC85" s="6"/>
      <c r="AD85" s="6"/>
      <c r="AE85" s="1">
        <v>2.0</v>
      </c>
      <c r="AF85" s="1" t="s">
        <v>22</v>
      </c>
      <c r="AG85" s="1"/>
      <c r="AH85" s="6">
        <v>71908.0</v>
      </c>
      <c r="AI85" s="6"/>
      <c r="AJ85" s="6"/>
      <c r="AL85" s="3">
        <f t="shared" si="7"/>
        <v>0</v>
      </c>
      <c r="AM85" s="1" t="s">
        <v>46</v>
      </c>
    </row>
    <row r="86">
      <c r="A86" s="1" t="s">
        <v>47</v>
      </c>
      <c r="B86" s="2">
        <v>1.6980972E7</v>
      </c>
      <c r="C86" s="1">
        <v>17.0</v>
      </c>
      <c r="E86" s="1">
        <v>2.0</v>
      </c>
      <c r="F86" s="1"/>
      <c r="G86" s="1"/>
      <c r="H86" s="1"/>
      <c r="I86" s="1"/>
      <c r="J86" s="1"/>
      <c r="K86" s="1" t="s">
        <v>22</v>
      </c>
      <c r="L86" s="1"/>
      <c r="M86" s="6">
        <v>33989.0</v>
      </c>
      <c r="N86" s="6"/>
      <c r="O86" s="6"/>
      <c r="P86" s="6"/>
      <c r="Q86" s="7">
        <v>2.0</v>
      </c>
      <c r="R86" s="8" t="s">
        <v>22</v>
      </c>
      <c r="S86" s="8"/>
      <c r="T86" s="6">
        <v>56577.0</v>
      </c>
      <c r="U86" s="6"/>
      <c r="V86" s="6"/>
      <c r="W86" s="6"/>
      <c r="X86" s="1">
        <v>2.0</v>
      </c>
      <c r="Y86" s="1" t="s">
        <v>22</v>
      </c>
      <c r="Z86" s="1"/>
      <c r="AA86" s="6">
        <v>82162.0</v>
      </c>
      <c r="AB86" s="6"/>
      <c r="AC86" s="6"/>
      <c r="AD86" s="6"/>
      <c r="AE86" s="1">
        <v>2.0</v>
      </c>
      <c r="AF86" s="1" t="s">
        <v>22</v>
      </c>
      <c r="AG86" s="1"/>
      <c r="AH86" s="6">
        <v>75452.0</v>
      </c>
      <c r="AI86" s="6"/>
      <c r="AJ86" s="6"/>
      <c r="AL86" s="3">
        <f t="shared" si="7"/>
        <v>0</v>
      </c>
      <c r="AM86" s="1" t="s">
        <v>47</v>
      </c>
    </row>
    <row r="87">
      <c r="A87" s="1" t="s">
        <v>48</v>
      </c>
      <c r="B87" s="2">
        <v>8631886.0</v>
      </c>
      <c r="C87" s="1">
        <v>9.0</v>
      </c>
      <c r="E87" s="1">
        <v>2.0</v>
      </c>
      <c r="F87" s="1"/>
      <c r="G87" s="1"/>
      <c r="H87" s="1"/>
      <c r="I87" s="1"/>
      <c r="J87" s="1"/>
      <c r="K87" s="1" t="s">
        <v>22</v>
      </c>
      <c r="L87" s="1"/>
      <c r="M87" s="6">
        <v>42615.0</v>
      </c>
      <c r="N87" s="6"/>
      <c r="O87" s="6"/>
      <c r="P87" s="6"/>
      <c r="Q87" s="7">
        <v>2.0</v>
      </c>
      <c r="R87" s="8" t="s">
        <v>22</v>
      </c>
      <c r="S87" s="8"/>
      <c r="T87" s="6">
        <v>40829.0</v>
      </c>
      <c r="U87" s="6"/>
      <c r="V87" s="6"/>
      <c r="W87" s="6"/>
      <c r="X87" s="1">
        <v>2.0</v>
      </c>
      <c r="Y87" s="1" t="s">
        <v>22</v>
      </c>
      <c r="Z87" s="1"/>
      <c r="AA87" s="6">
        <v>40796.0</v>
      </c>
      <c r="AB87" s="6"/>
      <c r="AC87" s="6"/>
      <c r="AD87" s="6"/>
      <c r="AE87" s="1">
        <v>2.0</v>
      </c>
      <c r="AF87" s="1" t="s">
        <v>22</v>
      </c>
      <c r="AG87" s="1"/>
      <c r="AH87" s="6">
        <v>40379.0</v>
      </c>
      <c r="AI87" s="6"/>
      <c r="AJ87" s="6"/>
      <c r="AL87" s="3">
        <f t="shared" si="7"/>
        <v>0</v>
      </c>
      <c r="AM87" s="1" t="s">
        <v>48</v>
      </c>
    </row>
    <row r="88">
      <c r="A88" s="1" t="s">
        <v>49</v>
      </c>
      <c r="B88" s="2">
        <v>1.4692819E7</v>
      </c>
      <c r="C88" s="1">
        <v>17.0</v>
      </c>
      <c r="E88" s="1">
        <v>2.0</v>
      </c>
      <c r="F88" s="1"/>
      <c r="G88" s="1"/>
      <c r="H88" s="1"/>
      <c r="I88" s="1"/>
      <c r="J88" s="1"/>
      <c r="K88" s="1" t="s">
        <v>22</v>
      </c>
      <c r="L88" s="1"/>
      <c r="M88" s="6">
        <v>36075.0</v>
      </c>
      <c r="N88" s="6"/>
      <c r="O88" s="6"/>
      <c r="P88" s="6"/>
      <c r="Q88" s="7">
        <v>2.0</v>
      </c>
      <c r="R88" s="8" t="s">
        <v>22</v>
      </c>
      <c r="S88" s="8"/>
      <c r="T88" s="6">
        <v>54994.0</v>
      </c>
      <c r="U88" s="6"/>
      <c r="V88" s="6"/>
      <c r="W88" s="6"/>
      <c r="X88" s="1">
        <v>2.0</v>
      </c>
      <c r="Y88" s="1" t="s">
        <v>22</v>
      </c>
      <c r="Z88" s="1"/>
      <c r="AA88" s="6">
        <v>76645.0</v>
      </c>
      <c r="AB88" s="6"/>
      <c r="AC88" s="6"/>
      <c r="AD88" s="6"/>
      <c r="AE88" s="1">
        <v>2.0</v>
      </c>
      <c r="AF88" s="1" t="s">
        <v>22</v>
      </c>
      <c r="AG88" s="1"/>
      <c r="AH88" s="6">
        <v>66626.0</v>
      </c>
      <c r="AI88" s="6"/>
      <c r="AJ88" s="6"/>
      <c r="AL88" s="3">
        <f t="shared" si="7"/>
        <v>0</v>
      </c>
      <c r="AM88" s="1" t="s">
        <v>49</v>
      </c>
    </row>
    <row r="89">
      <c r="A89" s="1" t="s">
        <v>51</v>
      </c>
      <c r="B89" s="2">
        <v>1.451614E7</v>
      </c>
      <c r="C89" s="1">
        <v>16.0</v>
      </c>
      <c r="E89" s="1">
        <v>1.0</v>
      </c>
      <c r="F89" s="1"/>
      <c r="G89" s="1"/>
      <c r="H89" s="1"/>
      <c r="I89" s="1"/>
      <c r="J89" s="1"/>
      <c r="K89" s="1" t="s">
        <v>21</v>
      </c>
      <c r="L89" s="1"/>
      <c r="M89" s="6">
        <v>33487.0</v>
      </c>
      <c r="N89" s="6"/>
      <c r="O89" s="6"/>
      <c r="P89" s="6"/>
      <c r="Q89" s="7">
        <v>106.0</v>
      </c>
      <c r="R89" s="8" t="s">
        <v>22</v>
      </c>
      <c r="S89" s="8"/>
      <c r="T89" s="6">
        <v>49687.0</v>
      </c>
      <c r="U89" s="6"/>
      <c r="V89" s="6"/>
      <c r="W89" s="6"/>
      <c r="X89" s="1">
        <v>21.0</v>
      </c>
      <c r="Y89" s="1" t="s">
        <v>23</v>
      </c>
      <c r="Z89" s="1">
        <v>1100.0</v>
      </c>
      <c r="AA89" s="6">
        <v>72221.0</v>
      </c>
      <c r="AB89" s="6">
        <v>157581.0</v>
      </c>
      <c r="AC89" s="6">
        <v>18.0</v>
      </c>
      <c r="AD89" s="6"/>
      <c r="AE89" s="1">
        <v>12.0</v>
      </c>
      <c r="AF89" s="1" t="s">
        <v>21</v>
      </c>
      <c r="AG89" s="1"/>
      <c r="AH89" s="6">
        <v>66557.0</v>
      </c>
      <c r="AI89" s="6"/>
      <c r="AJ89" s="6"/>
      <c r="AL89" s="3">
        <f t="shared" si="7"/>
        <v>1</v>
      </c>
      <c r="AM89" s="1" t="s">
        <v>51</v>
      </c>
    </row>
    <row r="90">
      <c r="A90" s="1" t="s">
        <v>52</v>
      </c>
      <c r="B90" s="2">
        <v>1.1561854E7</v>
      </c>
      <c r="C90" s="1">
        <v>12.0</v>
      </c>
      <c r="E90" s="1">
        <v>3.0</v>
      </c>
      <c r="F90" s="1"/>
      <c r="G90" s="1"/>
      <c r="H90" s="1"/>
      <c r="I90" s="1"/>
      <c r="J90" s="1"/>
      <c r="K90" s="1" t="s">
        <v>21</v>
      </c>
      <c r="L90" s="1"/>
      <c r="M90" s="6">
        <v>34338.0</v>
      </c>
      <c r="N90" s="6"/>
      <c r="O90" s="6"/>
      <c r="P90" s="6"/>
      <c r="Q90" s="7">
        <v>137.0</v>
      </c>
      <c r="R90" s="8" t="s">
        <v>21</v>
      </c>
      <c r="S90" s="8"/>
      <c r="T90" s="6">
        <v>52932.0</v>
      </c>
      <c r="U90" s="6"/>
      <c r="V90" s="6"/>
      <c r="W90" s="6"/>
      <c r="X90" s="1">
        <v>60.0</v>
      </c>
      <c r="Y90" s="1" t="s">
        <v>23</v>
      </c>
      <c r="Z90" s="1">
        <v>1081.0</v>
      </c>
      <c r="AA90" s="6">
        <v>55310.0</v>
      </c>
      <c r="AB90" s="6">
        <v>387275.0</v>
      </c>
      <c r="AC90" s="6">
        <v>15.0</v>
      </c>
      <c r="AD90" s="6"/>
      <c r="AE90" s="1">
        <v>9.0</v>
      </c>
      <c r="AF90" s="1" t="s">
        <v>23</v>
      </c>
      <c r="AG90" s="1">
        <v>928.0</v>
      </c>
      <c r="AH90" s="6">
        <v>54929.0</v>
      </c>
      <c r="AI90" s="6">
        <v>317065.0</v>
      </c>
      <c r="AJ90" s="6">
        <v>14.0</v>
      </c>
      <c r="AL90" s="3">
        <f t="shared" si="7"/>
        <v>2</v>
      </c>
      <c r="AM90" s="1" t="s">
        <v>52</v>
      </c>
    </row>
    <row r="91">
      <c r="A91" s="1" t="s">
        <v>53</v>
      </c>
      <c r="B91" s="2">
        <v>1.1508269E7</v>
      </c>
      <c r="C91" s="1">
        <v>11.0</v>
      </c>
      <c r="E91" s="1">
        <v>1.0</v>
      </c>
      <c r="F91" s="1"/>
      <c r="G91" s="1"/>
      <c r="H91" s="1"/>
      <c r="I91" s="1"/>
      <c r="J91" s="1"/>
      <c r="K91" s="1" t="s">
        <v>21</v>
      </c>
      <c r="L91" s="1"/>
      <c r="M91" s="6">
        <v>4068.0</v>
      </c>
      <c r="N91" s="6"/>
      <c r="O91" s="6"/>
      <c r="P91" s="6"/>
      <c r="Q91" s="7">
        <v>102.0</v>
      </c>
      <c r="R91" s="8" t="s">
        <v>22</v>
      </c>
      <c r="S91" s="8"/>
      <c r="T91" s="6">
        <v>53934.0</v>
      </c>
      <c r="U91" s="6"/>
      <c r="V91" s="6"/>
      <c r="W91" s="6"/>
      <c r="X91" s="1">
        <v>44.0</v>
      </c>
      <c r="Y91" s="1" t="s">
        <v>23</v>
      </c>
      <c r="Z91" s="1">
        <v>594.0</v>
      </c>
      <c r="AA91" s="6">
        <v>51581.0</v>
      </c>
      <c r="AB91" s="6">
        <v>145219.0</v>
      </c>
      <c r="AC91" s="6">
        <v>15.0</v>
      </c>
      <c r="AD91" s="6"/>
      <c r="AE91" s="1">
        <v>14.0</v>
      </c>
      <c r="AF91" s="1" t="s">
        <v>23</v>
      </c>
      <c r="AG91" s="1">
        <v>605.0</v>
      </c>
      <c r="AH91" s="6">
        <v>45656.0</v>
      </c>
      <c r="AI91" s="6">
        <v>300693.0</v>
      </c>
      <c r="AJ91" s="6">
        <v>13.0</v>
      </c>
      <c r="AL91" s="3">
        <f t="shared" si="7"/>
        <v>2</v>
      </c>
      <c r="AM91" s="1" t="s">
        <v>53</v>
      </c>
    </row>
    <row r="92">
      <c r="A92" s="1" t="s">
        <v>54</v>
      </c>
      <c r="B92" s="2">
        <v>1.0324341E7</v>
      </c>
      <c r="C92" s="1">
        <v>12.0</v>
      </c>
      <c r="E92" s="1">
        <v>5.0</v>
      </c>
      <c r="F92" s="1"/>
      <c r="G92" s="1"/>
      <c r="H92" s="1"/>
      <c r="I92" s="1"/>
      <c r="J92" s="1"/>
      <c r="K92" s="1" t="s">
        <v>22</v>
      </c>
      <c r="L92" s="1"/>
      <c r="M92" s="6">
        <v>33682.0</v>
      </c>
      <c r="N92" s="6"/>
      <c r="O92" s="6"/>
      <c r="P92" s="6"/>
      <c r="Q92" s="7">
        <v>4.0</v>
      </c>
      <c r="R92" s="8" t="s">
        <v>22</v>
      </c>
      <c r="S92" s="8"/>
      <c r="T92" s="6">
        <v>49324.0</v>
      </c>
      <c r="U92" s="6"/>
      <c r="V92" s="6"/>
      <c r="W92" s="6"/>
      <c r="X92" s="1">
        <v>29.0</v>
      </c>
      <c r="Y92" s="1" t="s">
        <v>23</v>
      </c>
      <c r="Z92" s="1">
        <v>385.0</v>
      </c>
      <c r="AA92" s="6">
        <v>49866.0</v>
      </c>
      <c r="AB92" s="6">
        <v>244471.0</v>
      </c>
      <c r="AC92" s="6">
        <v>19.0</v>
      </c>
      <c r="AD92" s="6"/>
      <c r="AE92" s="1">
        <v>3.0</v>
      </c>
      <c r="AF92" s="1" t="s">
        <v>23</v>
      </c>
      <c r="AG92" s="1">
        <v>376.0</v>
      </c>
      <c r="AH92" s="6">
        <v>51113.0</v>
      </c>
      <c r="AI92" s="6">
        <v>156345.0</v>
      </c>
      <c r="AJ92" s="6">
        <v>11.0</v>
      </c>
      <c r="AL92" s="3">
        <f t="shared" si="7"/>
        <v>2</v>
      </c>
      <c r="AM92" s="1" t="s">
        <v>54</v>
      </c>
    </row>
    <row r="93">
      <c r="A93" s="1" t="s">
        <v>55</v>
      </c>
      <c r="B93" s="2">
        <v>1.0854274E7</v>
      </c>
      <c r="C93" s="1">
        <v>11.0</v>
      </c>
      <c r="E93" s="1">
        <v>5.0</v>
      </c>
      <c r="F93" s="1"/>
      <c r="G93" s="1"/>
      <c r="H93" s="1"/>
      <c r="I93" s="1"/>
      <c r="J93" s="1"/>
      <c r="K93" s="1" t="s">
        <v>22</v>
      </c>
      <c r="L93" s="1"/>
      <c r="M93" s="6">
        <v>38243.0</v>
      </c>
      <c r="N93" s="6"/>
      <c r="O93" s="6"/>
      <c r="P93" s="6"/>
      <c r="Q93" s="7">
        <v>35.0</v>
      </c>
      <c r="R93" s="8" t="s">
        <v>21</v>
      </c>
      <c r="S93" s="8"/>
      <c r="T93" s="6">
        <v>52542.0</v>
      </c>
      <c r="U93" s="6"/>
      <c r="V93" s="6"/>
      <c r="W93" s="6"/>
      <c r="X93" s="1">
        <v>1.0</v>
      </c>
      <c r="Y93" s="1" t="s">
        <v>23</v>
      </c>
      <c r="Z93" s="1">
        <v>1072.0</v>
      </c>
      <c r="AA93" s="6">
        <v>57398.0</v>
      </c>
      <c r="AB93" s="6">
        <v>410724.0</v>
      </c>
      <c r="AC93" s="6">
        <v>12.0</v>
      </c>
      <c r="AD93" s="6"/>
      <c r="AE93" s="1">
        <v>28.0</v>
      </c>
      <c r="AF93" s="1" t="s">
        <v>23</v>
      </c>
      <c r="AG93" s="1">
        <v>942.0</v>
      </c>
      <c r="AH93" s="6">
        <v>53381.0</v>
      </c>
      <c r="AI93" s="6">
        <v>207303.0</v>
      </c>
      <c r="AJ93" s="6">
        <v>15.0</v>
      </c>
      <c r="AL93" s="3">
        <f t="shared" si="7"/>
        <v>2</v>
      </c>
      <c r="AM93" s="1" t="s">
        <v>55</v>
      </c>
    </row>
    <row r="94">
      <c r="A94" s="1" t="s">
        <v>56</v>
      </c>
      <c r="B94" s="2">
        <v>1.6072776E7</v>
      </c>
      <c r="C94" s="1">
        <v>17.0</v>
      </c>
      <c r="E94" s="1">
        <v>5.0</v>
      </c>
      <c r="F94" s="1"/>
      <c r="G94" s="1"/>
      <c r="H94" s="1"/>
      <c r="I94" s="1"/>
      <c r="J94" s="1"/>
      <c r="K94" s="1" t="s">
        <v>22</v>
      </c>
      <c r="L94" s="1"/>
      <c r="M94" s="6">
        <v>33063.0</v>
      </c>
      <c r="N94" s="6"/>
      <c r="O94" s="6"/>
      <c r="P94" s="6"/>
      <c r="Q94" s="7">
        <v>10.0</v>
      </c>
      <c r="R94" s="9" t="s">
        <v>23</v>
      </c>
      <c r="S94" s="9">
        <v>1179.0</v>
      </c>
      <c r="T94" s="6">
        <v>44011.0</v>
      </c>
      <c r="U94" s="6">
        <v>114942.0</v>
      </c>
      <c r="V94" s="6">
        <v>12.0</v>
      </c>
      <c r="W94" s="6"/>
      <c r="X94" s="1">
        <v>106.0</v>
      </c>
      <c r="Y94" s="1" t="s">
        <v>23</v>
      </c>
      <c r="Z94" s="1">
        <v>1394.0</v>
      </c>
      <c r="AA94" s="6">
        <v>79639.0</v>
      </c>
      <c r="AB94" s="6">
        <v>207474.0</v>
      </c>
      <c r="AC94" s="6">
        <v>20.0</v>
      </c>
      <c r="AD94" s="6"/>
      <c r="AE94" s="1">
        <v>8.0</v>
      </c>
      <c r="AF94" s="1" t="s">
        <v>23</v>
      </c>
      <c r="AG94" s="1">
        <v>1327.0</v>
      </c>
      <c r="AH94" s="6">
        <v>76926.0</v>
      </c>
      <c r="AI94" s="6">
        <v>239590.0</v>
      </c>
      <c r="AJ94" s="6">
        <v>15.0</v>
      </c>
      <c r="AL94" s="3">
        <f t="shared" si="7"/>
        <v>3</v>
      </c>
      <c r="AM94" s="1" t="s">
        <v>56</v>
      </c>
    </row>
    <row r="95">
      <c r="A95" s="1" t="s">
        <v>57</v>
      </c>
      <c r="B95" s="2">
        <v>1.1065285E7</v>
      </c>
      <c r="C95" s="1">
        <v>12.0</v>
      </c>
      <c r="E95" s="1">
        <v>116.0</v>
      </c>
      <c r="F95" s="1"/>
      <c r="G95" s="1"/>
      <c r="H95" s="1"/>
      <c r="I95" s="1"/>
      <c r="J95" s="1"/>
      <c r="K95" s="1" t="s">
        <v>21</v>
      </c>
      <c r="L95" s="1"/>
      <c r="M95" s="6">
        <v>27359.0</v>
      </c>
      <c r="N95" s="6"/>
      <c r="O95" s="6"/>
      <c r="P95" s="6"/>
      <c r="Q95" s="7">
        <v>229.0</v>
      </c>
      <c r="R95" s="8" t="s">
        <v>21</v>
      </c>
      <c r="S95" s="8"/>
      <c r="T95" s="6">
        <v>50532.0</v>
      </c>
      <c r="U95" s="6"/>
      <c r="V95" s="6"/>
      <c r="W95" s="6"/>
      <c r="X95" s="1">
        <v>1.0</v>
      </c>
      <c r="Y95" s="1" t="s">
        <v>21</v>
      </c>
      <c r="Z95" s="1"/>
      <c r="AA95" s="6">
        <v>51501.0</v>
      </c>
      <c r="AD95" s="6"/>
      <c r="AE95" s="1">
        <v>1.0</v>
      </c>
      <c r="AF95" s="1" t="s">
        <v>21</v>
      </c>
      <c r="AG95" s="1"/>
      <c r="AH95" s="6">
        <v>53500.0</v>
      </c>
      <c r="AI95" s="6"/>
      <c r="AJ95" s="6"/>
      <c r="AL95" s="3">
        <f t="shared" si="7"/>
        <v>0</v>
      </c>
      <c r="AM95" s="1" t="s">
        <v>57</v>
      </c>
    </row>
    <row r="96">
      <c r="A96" s="1" t="s">
        <v>58</v>
      </c>
      <c r="B96" s="2">
        <v>1.5779054E7</v>
      </c>
      <c r="C96" s="1">
        <v>19.0</v>
      </c>
      <c r="E96" s="1">
        <v>105.0</v>
      </c>
      <c r="F96" s="1"/>
      <c r="G96" s="1"/>
      <c r="H96" s="1"/>
      <c r="I96" s="1"/>
      <c r="J96" s="1"/>
      <c r="K96" s="1" t="s">
        <v>22</v>
      </c>
      <c r="L96" s="1"/>
      <c r="M96" s="6">
        <v>3485.0</v>
      </c>
      <c r="N96" s="6"/>
      <c r="O96" s="6"/>
      <c r="P96" s="6"/>
      <c r="Q96" s="7">
        <v>452.0</v>
      </c>
      <c r="R96" s="8" t="s">
        <v>22</v>
      </c>
      <c r="S96" s="8"/>
      <c r="T96" s="6">
        <v>54682.0</v>
      </c>
      <c r="U96" s="6"/>
      <c r="V96" s="6"/>
      <c r="W96" s="6"/>
      <c r="X96" s="1">
        <v>148.0</v>
      </c>
      <c r="Y96" s="1" t="s">
        <v>23</v>
      </c>
      <c r="Z96" s="1">
        <v>1674.0</v>
      </c>
      <c r="AA96" s="6">
        <v>63033.0</v>
      </c>
      <c r="AB96" s="6">
        <v>165212.0</v>
      </c>
      <c r="AC96" s="6">
        <v>14.0</v>
      </c>
      <c r="AD96" s="6"/>
      <c r="AE96" s="1">
        <v>21.0</v>
      </c>
      <c r="AF96" s="1" t="s">
        <v>23</v>
      </c>
      <c r="AG96" s="1">
        <v>1607.0</v>
      </c>
      <c r="AH96" s="6">
        <v>72725.0</v>
      </c>
      <c r="AI96" s="6">
        <v>281587.0</v>
      </c>
      <c r="AJ96" s="6">
        <v>19.0</v>
      </c>
      <c r="AL96" s="3">
        <f t="shared" si="7"/>
        <v>2</v>
      </c>
      <c r="AM96" s="1" t="s">
        <v>58</v>
      </c>
    </row>
    <row r="97">
      <c r="A97" s="1" t="s">
        <v>59</v>
      </c>
      <c r="B97" s="2">
        <v>1.0752157E7</v>
      </c>
      <c r="C97" s="1">
        <v>12.0</v>
      </c>
      <c r="E97" s="1">
        <v>1.0</v>
      </c>
      <c r="F97" s="1"/>
      <c r="G97" s="1"/>
      <c r="H97" s="1"/>
      <c r="I97" s="1"/>
      <c r="J97" s="1"/>
      <c r="K97" s="1" t="s">
        <v>21</v>
      </c>
      <c r="L97" s="1"/>
      <c r="M97" s="6">
        <v>25456.0</v>
      </c>
      <c r="N97" s="6"/>
      <c r="O97" s="6"/>
      <c r="P97" s="6"/>
      <c r="Q97" s="7">
        <v>161.0</v>
      </c>
      <c r="R97" s="8" t="s">
        <v>21</v>
      </c>
      <c r="S97" s="8"/>
      <c r="T97" s="6">
        <v>48222.0</v>
      </c>
      <c r="U97" s="6"/>
      <c r="V97" s="6"/>
      <c r="W97" s="6"/>
      <c r="X97" s="1">
        <v>35.0</v>
      </c>
      <c r="Y97" s="1" t="s">
        <v>23</v>
      </c>
      <c r="Z97" s="1">
        <v>783.0</v>
      </c>
      <c r="AA97" s="6">
        <v>54457.0</v>
      </c>
      <c r="AB97" s="6">
        <v>173353.0</v>
      </c>
      <c r="AC97" s="6">
        <v>13.0</v>
      </c>
      <c r="AD97" s="6"/>
      <c r="AE97" s="1">
        <v>1.0</v>
      </c>
      <c r="AF97" s="1" t="s">
        <v>21</v>
      </c>
      <c r="AG97" s="1"/>
      <c r="AH97" s="6">
        <v>38082.0</v>
      </c>
      <c r="AI97" s="6"/>
      <c r="AJ97" s="6"/>
      <c r="AL97" s="3">
        <f t="shared" si="7"/>
        <v>1</v>
      </c>
      <c r="AM97" s="1" t="s">
        <v>59</v>
      </c>
    </row>
    <row r="98">
      <c r="A98" s="1" t="s">
        <v>60</v>
      </c>
      <c r="B98" s="2">
        <v>6360316.0</v>
      </c>
      <c r="C98" s="1">
        <v>7.0</v>
      </c>
      <c r="E98" s="1">
        <v>33.0</v>
      </c>
      <c r="F98" s="1"/>
      <c r="G98" s="1"/>
      <c r="H98" s="1"/>
      <c r="I98" s="1"/>
      <c r="J98" s="1"/>
      <c r="K98" s="1" t="s">
        <v>21</v>
      </c>
      <c r="L98" s="1"/>
      <c r="M98" s="6">
        <v>29112.0</v>
      </c>
      <c r="N98" s="6"/>
      <c r="O98" s="6"/>
      <c r="P98" s="6"/>
      <c r="Q98" s="7">
        <v>40.0</v>
      </c>
      <c r="R98" s="8" t="s">
        <v>21</v>
      </c>
      <c r="S98" s="8"/>
      <c r="T98" s="6">
        <v>29606.0</v>
      </c>
      <c r="U98" s="6"/>
      <c r="V98" s="6"/>
      <c r="W98" s="6"/>
      <c r="X98" s="1">
        <v>1.0</v>
      </c>
      <c r="Y98" s="1" t="s">
        <v>23</v>
      </c>
      <c r="Z98" s="1">
        <v>576.0</v>
      </c>
      <c r="AA98" s="6">
        <v>29933.0</v>
      </c>
      <c r="AB98" s="6">
        <v>171882.0</v>
      </c>
      <c r="AC98" s="6">
        <v>7.0</v>
      </c>
      <c r="AD98" s="6"/>
      <c r="AE98" s="1">
        <v>2.0</v>
      </c>
      <c r="AF98" s="1" t="s">
        <v>23</v>
      </c>
      <c r="AG98" s="1">
        <v>604.0</v>
      </c>
      <c r="AH98" s="6">
        <v>29362.0</v>
      </c>
      <c r="AI98" s="6">
        <v>200589.0</v>
      </c>
      <c r="AJ98" s="6">
        <v>9.0</v>
      </c>
      <c r="AL98" s="3">
        <f t="shared" si="7"/>
        <v>2</v>
      </c>
      <c r="AM98" s="1" t="s">
        <v>60</v>
      </c>
    </row>
    <row r="99">
      <c r="A99" s="1" t="s">
        <v>61</v>
      </c>
      <c r="B99" s="2">
        <v>7559816.0</v>
      </c>
      <c r="C99" s="1">
        <v>11.0</v>
      </c>
      <c r="E99" s="1">
        <v>31.0</v>
      </c>
      <c r="F99" s="1"/>
      <c r="G99" s="1"/>
      <c r="H99" s="1"/>
      <c r="I99" s="1"/>
      <c r="J99" s="1"/>
      <c r="K99" s="1" t="s">
        <v>23</v>
      </c>
      <c r="L99" s="1">
        <v>1445.0</v>
      </c>
      <c r="M99" s="6">
        <v>38859.0</v>
      </c>
      <c r="N99" s="6">
        <v>187780.0</v>
      </c>
      <c r="O99" s="6">
        <v>8.0</v>
      </c>
      <c r="P99" s="6"/>
      <c r="Q99" s="7">
        <v>102.0</v>
      </c>
      <c r="R99" s="8" t="s">
        <v>22</v>
      </c>
      <c r="S99" s="8"/>
      <c r="T99" s="6">
        <v>38369.0</v>
      </c>
      <c r="U99" s="6"/>
      <c r="V99" s="6"/>
      <c r="W99" s="6"/>
      <c r="X99" s="1">
        <v>35.0</v>
      </c>
      <c r="Y99" s="1" t="s">
        <v>23</v>
      </c>
      <c r="Z99" s="1">
        <v>1433.0</v>
      </c>
      <c r="AA99" s="6">
        <v>40516.0</v>
      </c>
      <c r="AB99" s="6">
        <v>217918.0</v>
      </c>
      <c r="AC99" s="6">
        <v>8.0</v>
      </c>
      <c r="AD99" s="6"/>
      <c r="AE99" s="1">
        <v>31.0</v>
      </c>
      <c r="AF99" s="1" t="s">
        <v>23</v>
      </c>
      <c r="AG99" s="1">
        <v>1445.0</v>
      </c>
      <c r="AH99" s="6">
        <v>38859.0</v>
      </c>
      <c r="AI99" s="6">
        <v>187780.0</v>
      </c>
      <c r="AJ99" s="6">
        <v>8.0</v>
      </c>
      <c r="AL99" s="3">
        <f t="shared" si="7"/>
        <v>3</v>
      </c>
      <c r="AM99" s="1" t="s">
        <v>61</v>
      </c>
    </row>
    <row r="100">
      <c r="A100" s="1" t="s">
        <v>63</v>
      </c>
      <c r="B100" s="2">
        <v>6998779.0</v>
      </c>
      <c r="C100" s="1">
        <v>7.0</v>
      </c>
      <c r="E100" s="1">
        <v>9.0</v>
      </c>
      <c r="F100" s="1"/>
      <c r="G100" s="1"/>
      <c r="H100" s="1"/>
      <c r="I100" s="1"/>
      <c r="J100" s="1"/>
      <c r="K100" s="1" t="s">
        <v>22</v>
      </c>
      <c r="L100" s="1"/>
      <c r="M100" s="6">
        <v>34617.0</v>
      </c>
      <c r="N100" s="6"/>
      <c r="O100" s="6"/>
      <c r="P100" s="6"/>
      <c r="Q100" s="7">
        <v>103.0</v>
      </c>
      <c r="R100" s="8" t="s">
        <v>22</v>
      </c>
      <c r="S100" s="8"/>
      <c r="T100" s="6">
        <v>32393.0</v>
      </c>
      <c r="U100" s="6"/>
      <c r="V100" s="6"/>
      <c r="W100" s="6"/>
      <c r="X100" s="1">
        <v>1.0</v>
      </c>
      <c r="Y100" s="1" t="s">
        <v>23</v>
      </c>
      <c r="Z100" s="1">
        <v>634.0</v>
      </c>
      <c r="AA100" s="6">
        <v>32492.0</v>
      </c>
      <c r="AB100" s="6">
        <v>125980.0</v>
      </c>
      <c r="AC100" s="6">
        <v>8.0</v>
      </c>
      <c r="AD100" s="6"/>
      <c r="AE100" s="1">
        <v>80.0</v>
      </c>
      <c r="AF100" s="1" t="s">
        <v>23</v>
      </c>
      <c r="AG100" s="1">
        <v>671.0</v>
      </c>
      <c r="AH100" s="6">
        <v>32907.0</v>
      </c>
      <c r="AI100" s="6">
        <v>203962.0</v>
      </c>
      <c r="AJ100" s="6">
        <v>8.0</v>
      </c>
      <c r="AL100" s="3">
        <f t="shared" si="7"/>
        <v>2</v>
      </c>
      <c r="AM100" s="1" t="s">
        <v>63</v>
      </c>
    </row>
    <row r="101">
      <c r="A101" s="1" t="s">
        <v>64</v>
      </c>
      <c r="B101" s="2">
        <v>2.6168502E7</v>
      </c>
      <c r="C101" s="1">
        <v>22.0</v>
      </c>
      <c r="E101" s="1">
        <v>3.0</v>
      </c>
      <c r="F101" s="1"/>
      <c r="G101" s="1"/>
      <c r="H101" s="1"/>
      <c r="I101" s="1"/>
      <c r="J101" s="1"/>
      <c r="K101" s="1" t="s">
        <v>23</v>
      </c>
      <c r="L101" s="1">
        <v>1090.0</v>
      </c>
      <c r="M101" s="6">
        <v>12237.0</v>
      </c>
      <c r="N101" s="6">
        <v>92743.0</v>
      </c>
      <c r="O101" s="6">
        <v>8.0</v>
      </c>
      <c r="P101" s="6"/>
      <c r="Q101" s="7">
        <v>22.0</v>
      </c>
      <c r="R101" s="9" t="s">
        <v>23</v>
      </c>
      <c r="S101" s="9">
        <v>1544.0</v>
      </c>
      <c r="T101" s="6">
        <v>28594.0</v>
      </c>
      <c r="U101" s="6">
        <v>329231.0</v>
      </c>
      <c r="V101" s="6">
        <v>9.0</v>
      </c>
      <c r="W101" s="6"/>
      <c r="X101" s="1">
        <v>3.0</v>
      </c>
      <c r="Y101" s="1" t="s">
        <v>23</v>
      </c>
      <c r="Z101" s="1"/>
      <c r="AA101" s="6">
        <v>41.0</v>
      </c>
      <c r="AD101" s="6"/>
      <c r="AE101" s="1">
        <v>1.0</v>
      </c>
      <c r="AF101" s="1" t="s">
        <v>23</v>
      </c>
      <c r="AG101" s="1">
        <v>2082.0</v>
      </c>
      <c r="AH101" s="6">
        <v>78574.0</v>
      </c>
      <c r="AI101" s="6">
        <v>300385.0</v>
      </c>
      <c r="AJ101" s="6">
        <v>23.0</v>
      </c>
      <c r="AL101" s="3">
        <f t="shared" si="7"/>
        <v>4</v>
      </c>
      <c r="AM101" s="1" t="s">
        <v>64</v>
      </c>
    </row>
    <row r="102">
      <c r="A102" s="1" t="s">
        <v>65</v>
      </c>
      <c r="B102" s="2">
        <v>1.0993483E7</v>
      </c>
      <c r="C102" s="1">
        <v>13.0</v>
      </c>
      <c r="E102" s="1">
        <v>8.0</v>
      </c>
      <c r="F102" s="1"/>
      <c r="G102" s="1"/>
      <c r="H102" s="1"/>
      <c r="I102" s="1"/>
      <c r="J102" s="1"/>
      <c r="K102" s="1" t="s">
        <v>21</v>
      </c>
      <c r="L102" s="1"/>
      <c r="M102" s="6">
        <v>29017.0</v>
      </c>
      <c r="N102" s="6"/>
      <c r="O102" s="6"/>
      <c r="P102" s="6"/>
      <c r="Q102" s="7">
        <v>109.0</v>
      </c>
      <c r="R102" s="8" t="s">
        <v>22</v>
      </c>
      <c r="S102" s="8"/>
      <c r="T102" s="6">
        <v>56683.0</v>
      </c>
      <c r="U102" s="6"/>
      <c r="V102" s="6"/>
      <c r="W102" s="6"/>
      <c r="X102" s="1">
        <v>43.0</v>
      </c>
      <c r="Y102" s="1" t="s">
        <v>23</v>
      </c>
      <c r="Z102" s="1">
        <v>1158.0</v>
      </c>
      <c r="AA102" s="6">
        <v>54709.0</v>
      </c>
      <c r="AB102" s="6">
        <v>156165.0</v>
      </c>
      <c r="AC102" s="6">
        <v>11.0</v>
      </c>
      <c r="AD102" s="6"/>
      <c r="AE102" s="1">
        <v>1.0</v>
      </c>
      <c r="AF102" s="1" t="s">
        <v>23</v>
      </c>
      <c r="AG102" s="1">
        <v>772.0</v>
      </c>
      <c r="AH102" s="6">
        <v>27517.0</v>
      </c>
      <c r="AI102" s="6">
        <v>273932.0</v>
      </c>
      <c r="AJ102" s="6">
        <v>9.0</v>
      </c>
      <c r="AL102" s="3">
        <f t="shared" si="7"/>
        <v>2</v>
      </c>
      <c r="AM102" s="1" t="s">
        <v>65</v>
      </c>
    </row>
    <row r="103">
      <c r="A103" s="1" t="s">
        <v>66</v>
      </c>
      <c r="B103" s="2">
        <v>1.3300428E7</v>
      </c>
      <c r="C103" s="1">
        <v>16.0</v>
      </c>
      <c r="E103" s="1">
        <v>4.0</v>
      </c>
      <c r="F103" s="1"/>
      <c r="G103" s="1"/>
      <c r="H103" s="1"/>
      <c r="I103" s="1"/>
      <c r="J103" s="1"/>
      <c r="K103" s="1" t="s">
        <v>22</v>
      </c>
      <c r="L103" s="1"/>
      <c r="M103" s="6">
        <v>35564.0</v>
      </c>
      <c r="N103" s="6"/>
      <c r="O103" s="6"/>
      <c r="P103" s="6"/>
      <c r="Q103" s="7">
        <v>113.0</v>
      </c>
      <c r="R103" s="8" t="s">
        <v>22</v>
      </c>
      <c r="S103" s="8"/>
      <c r="T103" s="6">
        <v>50020.0</v>
      </c>
      <c r="U103" s="6"/>
      <c r="V103" s="6"/>
      <c r="W103" s="6"/>
      <c r="X103" s="1">
        <v>41.0</v>
      </c>
      <c r="Y103" s="1" t="s">
        <v>23</v>
      </c>
      <c r="Z103" s="1">
        <v>939.0</v>
      </c>
      <c r="AA103" s="6">
        <v>46639.0</v>
      </c>
      <c r="AB103" s="6">
        <v>183045.0</v>
      </c>
      <c r="AC103" s="6">
        <v>16.0</v>
      </c>
      <c r="AD103" s="6"/>
      <c r="AE103" s="1">
        <v>18.0</v>
      </c>
      <c r="AF103" s="1" t="s">
        <v>23</v>
      </c>
      <c r="AG103" s="1">
        <v>1099.0</v>
      </c>
      <c r="AH103" s="6">
        <v>60117.0</v>
      </c>
      <c r="AI103" s="6">
        <v>309361.0</v>
      </c>
      <c r="AJ103" s="6">
        <v>13.0</v>
      </c>
      <c r="AL103" s="3">
        <f t="shared" si="7"/>
        <v>2</v>
      </c>
      <c r="AM103" s="1" t="s">
        <v>66</v>
      </c>
    </row>
    <row r="104">
      <c r="A104" s="1" t="s">
        <v>68</v>
      </c>
      <c r="B104" s="2">
        <v>1.0740844E7</v>
      </c>
      <c r="C104" s="1">
        <v>11.0</v>
      </c>
      <c r="E104" s="1">
        <v>18.0</v>
      </c>
      <c r="F104" s="1"/>
      <c r="G104" s="1"/>
      <c r="H104" s="1"/>
      <c r="I104" s="1"/>
      <c r="J104" s="1"/>
      <c r="K104" s="1" t="s">
        <v>23</v>
      </c>
      <c r="L104" s="1">
        <v>1215.0</v>
      </c>
      <c r="M104" s="6">
        <v>40801.0</v>
      </c>
      <c r="N104" s="6">
        <v>282978.0</v>
      </c>
      <c r="O104" s="6">
        <v>4.0</v>
      </c>
      <c r="P104" s="6"/>
      <c r="Q104" s="7">
        <v>4.0</v>
      </c>
      <c r="R104" s="8" t="s">
        <v>22</v>
      </c>
      <c r="S104" s="8"/>
      <c r="T104" s="6">
        <v>52040.0</v>
      </c>
      <c r="U104" s="6"/>
      <c r="V104" s="6"/>
      <c r="W104" s="6"/>
      <c r="X104" s="1">
        <v>3.0</v>
      </c>
      <c r="Y104" s="1" t="s">
        <v>23</v>
      </c>
      <c r="Z104" s="1">
        <v>970.0</v>
      </c>
      <c r="AA104" s="6">
        <v>64836.0</v>
      </c>
      <c r="AB104" s="6">
        <v>82186.0</v>
      </c>
      <c r="AC104" s="6">
        <v>9.0</v>
      </c>
      <c r="AD104" s="6"/>
      <c r="AE104" s="1">
        <v>1.0</v>
      </c>
      <c r="AF104" s="1" t="s">
        <v>23</v>
      </c>
      <c r="AG104" s="1">
        <v>1253.0</v>
      </c>
      <c r="AH104" s="6">
        <v>45793.0</v>
      </c>
      <c r="AI104" s="6">
        <v>258286.0</v>
      </c>
      <c r="AJ104" s="6">
        <v>16.0</v>
      </c>
      <c r="AL104" s="3">
        <f t="shared" si="7"/>
        <v>3</v>
      </c>
      <c r="AM104" s="1" t="s">
        <v>68</v>
      </c>
    </row>
    <row r="105">
      <c r="A105" s="1" t="s">
        <v>69</v>
      </c>
      <c r="B105" s="2">
        <v>1.0740844E7</v>
      </c>
      <c r="C105" s="1">
        <v>9.0</v>
      </c>
      <c r="E105" s="1">
        <v>1.0</v>
      </c>
      <c r="F105" s="1"/>
      <c r="G105" s="1"/>
      <c r="H105" s="1"/>
      <c r="I105" s="1"/>
      <c r="J105" s="1"/>
      <c r="K105" s="1" t="s">
        <v>21</v>
      </c>
      <c r="L105" s="1"/>
      <c r="M105" s="6">
        <v>43062.0</v>
      </c>
      <c r="N105" s="6"/>
      <c r="O105" s="6"/>
      <c r="P105" s="6"/>
      <c r="Q105" s="7">
        <v>115.0</v>
      </c>
      <c r="R105" s="8" t="s">
        <v>22</v>
      </c>
      <c r="S105" s="8"/>
      <c r="T105" s="6">
        <v>42274.0</v>
      </c>
      <c r="U105" s="6"/>
      <c r="V105" s="6"/>
      <c r="W105" s="6"/>
      <c r="X105" s="1">
        <v>7.0</v>
      </c>
      <c r="Y105" s="1" t="s">
        <v>23</v>
      </c>
      <c r="Z105" s="1">
        <v>834.0</v>
      </c>
      <c r="AA105" s="6">
        <v>41525.0</v>
      </c>
      <c r="AB105" s="6">
        <v>145417.0</v>
      </c>
      <c r="AC105" s="6">
        <v>10.0</v>
      </c>
      <c r="AD105" s="6"/>
      <c r="AE105" s="1">
        <v>2.0</v>
      </c>
      <c r="AF105" s="1" t="s">
        <v>21</v>
      </c>
      <c r="AG105" s="1"/>
      <c r="AH105" s="6">
        <v>39523.0</v>
      </c>
      <c r="AL105" s="3">
        <f t="shared" si="7"/>
        <v>1</v>
      </c>
      <c r="AM105" s="1" t="s">
        <v>69</v>
      </c>
    </row>
    <row r="106">
      <c r="A106" s="1" t="s">
        <v>70</v>
      </c>
      <c r="B106" s="2">
        <v>1.4337628E7</v>
      </c>
      <c r="C106" s="1">
        <v>13.0</v>
      </c>
      <c r="E106" s="1">
        <v>10.0</v>
      </c>
      <c r="F106" s="1"/>
      <c r="G106" s="1"/>
      <c r="H106" s="1"/>
      <c r="I106" s="1"/>
      <c r="J106" s="1"/>
      <c r="K106" s="1" t="s">
        <v>23</v>
      </c>
      <c r="L106" s="1">
        <v>717.0</v>
      </c>
      <c r="M106" s="6">
        <v>4541.0</v>
      </c>
      <c r="N106" s="6">
        <v>69457.0</v>
      </c>
      <c r="O106" s="6">
        <v>12.0</v>
      </c>
      <c r="P106" s="6"/>
      <c r="Q106" s="7">
        <v>26.0</v>
      </c>
      <c r="R106" s="9" t="s">
        <v>23</v>
      </c>
      <c r="S106" s="9">
        <v>1235.0</v>
      </c>
      <c r="T106" s="6">
        <v>50431.0</v>
      </c>
      <c r="U106" s="6">
        <v>325954.0</v>
      </c>
      <c r="V106" s="6">
        <v>16.0</v>
      </c>
      <c r="W106" s="6"/>
      <c r="X106" s="1">
        <v>1.0</v>
      </c>
      <c r="Y106" s="1" t="s">
        <v>23</v>
      </c>
      <c r="Z106" s="1">
        <v>1370.0</v>
      </c>
      <c r="AA106" s="6">
        <v>68053.0</v>
      </c>
      <c r="AB106" s="6">
        <v>360285.0</v>
      </c>
      <c r="AC106" s="6">
        <v>22.0</v>
      </c>
      <c r="AD106" s="6"/>
      <c r="AE106" s="1">
        <v>1.0</v>
      </c>
      <c r="AF106" s="1" t="s">
        <v>23</v>
      </c>
      <c r="AG106" s="1">
        <v>1071.0</v>
      </c>
      <c r="AH106" s="6">
        <v>70521.0</v>
      </c>
      <c r="AI106" s="6">
        <v>140500.0</v>
      </c>
      <c r="AJ106" s="6">
        <v>14.0</v>
      </c>
      <c r="AL106" s="3">
        <f t="shared" si="7"/>
        <v>4</v>
      </c>
      <c r="AM106" s="1" t="s">
        <v>70</v>
      </c>
    </row>
    <row r="107">
      <c r="A107" s="1" t="s">
        <v>71</v>
      </c>
      <c r="B107" s="2">
        <v>1.7146726E7</v>
      </c>
      <c r="C107" s="1">
        <v>17.0</v>
      </c>
      <c r="E107" s="1">
        <v>1.0</v>
      </c>
      <c r="F107" s="1"/>
      <c r="G107" s="1"/>
      <c r="H107" s="1"/>
      <c r="I107" s="1"/>
      <c r="J107" s="1"/>
      <c r="K107" s="1" t="s">
        <v>23</v>
      </c>
      <c r="L107" s="1">
        <v>85.0</v>
      </c>
      <c r="M107" s="6">
        <v>6111.0</v>
      </c>
      <c r="N107" s="6">
        <v>106091.0</v>
      </c>
      <c r="O107" s="6">
        <v>3.0</v>
      </c>
      <c r="P107" s="6"/>
      <c r="Q107" s="7">
        <v>114.0</v>
      </c>
      <c r="R107" s="8" t="s">
        <v>22</v>
      </c>
      <c r="S107" s="8"/>
      <c r="T107" s="6">
        <v>88819.0</v>
      </c>
      <c r="U107" s="6"/>
      <c r="V107" s="6"/>
      <c r="W107" s="6"/>
      <c r="X107" s="1">
        <v>9.0</v>
      </c>
      <c r="Y107" s="1" t="s">
        <v>23</v>
      </c>
      <c r="Z107" s="1">
        <v>1376.0</v>
      </c>
      <c r="AA107" s="6">
        <v>35323.0</v>
      </c>
      <c r="AB107" s="6">
        <v>306659.0</v>
      </c>
      <c r="AC107" s="6">
        <v>13.0</v>
      </c>
      <c r="AD107" s="6"/>
      <c r="AE107" s="1">
        <v>3.0</v>
      </c>
      <c r="AF107" s="1" t="s">
        <v>23</v>
      </c>
      <c r="AG107" s="1">
        <v>1834.0</v>
      </c>
      <c r="AH107" s="6">
        <v>106291.0</v>
      </c>
      <c r="AI107" s="6">
        <v>293271.0</v>
      </c>
      <c r="AJ107" s="6">
        <v>18.0</v>
      </c>
      <c r="AL107" s="3">
        <f t="shared" si="7"/>
        <v>3</v>
      </c>
      <c r="AM107" s="1" t="s">
        <v>71</v>
      </c>
    </row>
    <row r="108">
      <c r="A108" s="1" t="s">
        <v>26</v>
      </c>
      <c r="B108" s="2">
        <v>7766696.0</v>
      </c>
      <c r="C108" s="1">
        <v>8.0</v>
      </c>
      <c r="E108" s="1">
        <v>1.0</v>
      </c>
      <c r="F108" s="1"/>
      <c r="G108" s="1"/>
      <c r="H108" s="1"/>
      <c r="I108" s="1"/>
      <c r="J108" s="1"/>
      <c r="K108" s="1" t="s">
        <v>21</v>
      </c>
      <c r="L108" s="1"/>
      <c r="M108" s="6">
        <v>32250.0</v>
      </c>
      <c r="N108" s="6"/>
      <c r="O108" s="6"/>
      <c r="P108" s="6"/>
      <c r="Q108" s="7">
        <v>14.0</v>
      </c>
      <c r="R108" s="9" t="s">
        <v>23</v>
      </c>
      <c r="S108" s="9">
        <v>762.0</v>
      </c>
      <c r="T108" s="6">
        <v>39958.0</v>
      </c>
      <c r="U108" s="6">
        <v>194611.0</v>
      </c>
      <c r="V108" s="6">
        <v>11.0</v>
      </c>
      <c r="W108" s="6"/>
      <c r="X108" s="1">
        <v>12.0</v>
      </c>
      <c r="Y108" s="1" t="s">
        <v>21</v>
      </c>
      <c r="Z108" s="1"/>
      <c r="AA108" s="6">
        <v>39401.0</v>
      </c>
      <c r="AD108" s="6"/>
      <c r="AE108" s="1">
        <v>3.0</v>
      </c>
      <c r="AF108" s="1" t="s">
        <v>23</v>
      </c>
      <c r="AG108" s="1">
        <v>936.0</v>
      </c>
      <c r="AH108" s="6">
        <v>36278.0</v>
      </c>
      <c r="AI108" s="6">
        <v>208558.0</v>
      </c>
      <c r="AJ108" s="6">
        <v>7.0</v>
      </c>
      <c r="AL108" s="3">
        <f t="shared" si="7"/>
        <v>2</v>
      </c>
      <c r="AM108" s="1" t="s">
        <v>26</v>
      </c>
    </row>
    <row r="109">
      <c r="A109" s="1" t="s">
        <v>27</v>
      </c>
      <c r="B109" s="2">
        <v>1.2851093E7</v>
      </c>
      <c r="C109" s="1">
        <v>13.0</v>
      </c>
      <c r="E109" s="1">
        <v>2.0</v>
      </c>
      <c r="F109" s="1"/>
      <c r="G109" s="1"/>
      <c r="H109" s="1"/>
      <c r="I109" s="1"/>
      <c r="J109" s="1"/>
      <c r="K109" s="1" t="s">
        <v>21</v>
      </c>
      <c r="L109" s="1"/>
      <c r="M109" s="6">
        <v>47151.0</v>
      </c>
      <c r="N109" s="6"/>
      <c r="O109" s="6"/>
      <c r="P109" s="6"/>
      <c r="Q109" s="7">
        <v>7.0</v>
      </c>
      <c r="R109" s="8" t="s">
        <v>22</v>
      </c>
      <c r="S109" s="8"/>
      <c r="T109" s="6">
        <v>61034.0</v>
      </c>
      <c r="U109" s="6"/>
      <c r="V109" s="6"/>
      <c r="W109" s="6"/>
      <c r="X109" s="1">
        <v>1.0</v>
      </c>
      <c r="Y109" s="1" t="s">
        <v>23</v>
      </c>
      <c r="Z109" s="1">
        <v>1094.0</v>
      </c>
      <c r="AA109" s="6">
        <v>61215.0</v>
      </c>
      <c r="AB109" s="6">
        <v>147106.0</v>
      </c>
      <c r="AC109" s="6">
        <v>16.0</v>
      </c>
      <c r="AD109" s="6"/>
      <c r="AE109" s="1">
        <v>1.0</v>
      </c>
      <c r="AF109" s="1" t="s">
        <v>23</v>
      </c>
      <c r="AG109" s="1">
        <v>994.0</v>
      </c>
      <c r="AH109" s="6">
        <v>54875.0</v>
      </c>
      <c r="AI109" s="6">
        <v>215192.0</v>
      </c>
      <c r="AJ109" s="6">
        <v>11.0</v>
      </c>
      <c r="AL109" s="3">
        <f t="shared" si="7"/>
        <v>2</v>
      </c>
      <c r="AM109" s="1" t="s">
        <v>27</v>
      </c>
    </row>
    <row r="110">
      <c r="A110" s="1" t="s">
        <v>28</v>
      </c>
      <c r="B110" s="2">
        <v>1.4926614E7</v>
      </c>
      <c r="C110" s="1">
        <v>16.0</v>
      </c>
      <c r="E110" s="1">
        <v>1.0</v>
      </c>
      <c r="F110" s="1"/>
      <c r="G110" s="1"/>
      <c r="H110" s="1"/>
      <c r="I110" s="1"/>
      <c r="J110" s="1"/>
      <c r="K110" s="1" t="s">
        <v>21</v>
      </c>
      <c r="L110" s="1"/>
      <c r="M110" s="6">
        <v>14008.0</v>
      </c>
      <c r="N110" s="6"/>
      <c r="O110" s="6"/>
      <c r="P110" s="6"/>
      <c r="Q110" s="7">
        <v>16.0</v>
      </c>
      <c r="R110" s="9" t="s">
        <v>23</v>
      </c>
      <c r="S110" s="9">
        <v>1024.0</v>
      </c>
      <c r="T110" s="6">
        <v>41671.0</v>
      </c>
      <c r="U110" s="6">
        <v>321902.0</v>
      </c>
      <c r="V110" s="6">
        <v>13.0</v>
      </c>
      <c r="W110" s="6"/>
      <c r="X110" s="1">
        <v>24.0</v>
      </c>
      <c r="Y110" s="1" t="s">
        <v>23</v>
      </c>
      <c r="Z110" s="1">
        <v>858.0</v>
      </c>
      <c r="AA110" s="6">
        <v>59528.0</v>
      </c>
      <c r="AB110" s="6">
        <v>396528.0</v>
      </c>
      <c r="AC110" s="6">
        <v>18.0</v>
      </c>
      <c r="AD110" s="6"/>
      <c r="AE110" s="1">
        <v>1.0</v>
      </c>
      <c r="AF110" s="1" t="s">
        <v>23</v>
      </c>
      <c r="AG110" s="1">
        <v>944.0</v>
      </c>
      <c r="AH110" s="6">
        <v>52834.0</v>
      </c>
      <c r="AI110" s="6">
        <v>258335.0</v>
      </c>
      <c r="AJ110" s="6">
        <v>15.0</v>
      </c>
      <c r="AL110" s="3">
        <f t="shared" si="7"/>
        <v>3</v>
      </c>
      <c r="AM110" s="1" t="s">
        <v>28</v>
      </c>
    </row>
    <row r="111">
      <c r="A111" s="1" t="s">
        <v>29</v>
      </c>
      <c r="B111" s="2">
        <v>1.342039E7</v>
      </c>
      <c r="C111" s="1">
        <v>14.0</v>
      </c>
      <c r="E111" s="1">
        <v>1.0</v>
      </c>
      <c r="F111" s="1"/>
      <c r="G111" s="1"/>
      <c r="H111" s="1"/>
      <c r="I111" s="1"/>
      <c r="J111" s="1"/>
      <c r="K111" s="1" t="s">
        <v>23</v>
      </c>
      <c r="L111" s="1">
        <v>611.0</v>
      </c>
      <c r="M111" s="6">
        <v>3975.0</v>
      </c>
      <c r="N111" s="6">
        <v>66709.0</v>
      </c>
      <c r="O111" s="6">
        <v>3.0</v>
      </c>
      <c r="P111" s="6"/>
      <c r="Q111" s="7">
        <v>110.0</v>
      </c>
      <c r="R111" s="8" t="s">
        <v>22</v>
      </c>
      <c r="S111" s="8"/>
      <c r="T111" s="6">
        <v>55167.0</v>
      </c>
      <c r="U111" s="6"/>
      <c r="V111" s="6"/>
      <c r="W111" s="6"/>
      <c r="X111" s="1">
        <v>1.0</v>
      </c>
      <c r="Y111" s="1" t="s">
        <v>23</v>
      </c>
      <c r="Z111" s="1">
        <v>1246.0</v>
      </c>
      <c r="AA111" s="6">
        <v>62242.0</v>
      </c>
      <c r="AB111" s="6">
        <v>177866.0</v>
      </c>
      <c r="AC111" s="6">
        <v>14.0</v>
      </c>
      <c r="AD111" s="6"/>
      <c r="AE111" s="1">
        <v>13.0</v>
      </c>
      <c r="AF111" s="1" t="s">
        <v>23</v>
      </c>
      <c r="AG111" s="1">
        <v>1224.0</v>
      </c>
      <c r="AH111" s="6">
        <v>62197.0</v>
      </c>
      <c r="AI111" s="6">
        <v>191151.0</v>
      </c>
      <c r="AJ111" s="6">
        <v>11.0</v>
      </c>
      <c r="AL111" s="3">
        <f t="shared" si="7"/>
        <v>3</v>
      </c>
      <c r="AM111" s="1" t="s">
        <v>29</v>
      </c>
    </row>
    <row r="112">
      <c r="A112" s="1" t="s">
        <v>30</v>
      </c>
      <c r="B112" s="2">
        <v>1.6977168E7</v>
      </c>
      <c r="C112" s="1">
        <v>18.0</v>
      </c>
      <c r="E112" s="1">
        <v>4.0</v>
      </c>
      <c r="F112" s="1"/>
      <c r="G112" s="1"/>
      <c r="H112" s="1"/>
      <c r="I112" s="1"/>
      <c r="J112" s="1"/>
      <c r="K112" s="1" t="s">
        <v>22</v>
      </c>
      <c r="L112" s="1"/>
      <c r="M112" s="6">
        <v>4886.0</v>
      </c>
      <c r="N112" s="6"/>
      <c r="O112" s="6"/>
      <c r="P112" s="6"/>
      <c r="Q112" s="7">
        <v>105.0</v>
      </c>
      <c r="R112" s="8" t="s">
        <v>22</v>
      </c>
      <c r="S112" s="8"/>
      <c r="T112" s="6">
        <v>71492.0</v>
      </c>
      <c r="U112" s="6"/>
      <c r="V112" s="6"/>
      <c r="W112" s="6"/>
      <c r="X112" s="1">
        <v>1.0</v>
      </c>
      <c r="Y112" s="1" t="s">
        <v>23</v>
      </c>
      <c r="Z112" s="1">
        <v>1486.0</v>
      </c>
      <c r="AA112" s="6">
        <v>82640.0</v>
      </c>
      <c r="AB112" s="6">
        <v>168476.0</v>
      </c>
      <c r="AC112" s="6">
        <v>24.0</v>
      </c>
      <c r="AD112" s="6"/>
      <c r="AE112" s="1">
        <v>1.0</v>
      </c>
      <c r="AF112" s="1" t="s">
        <v>21</v>
      </c>
      <c r="AG112" s="1"/>
      <c r="AH112" s="6">
        <v>69969.0</v>
      </c>
      <c r="AL112" s="3">
        <f t="shared" si="7"/>
        <v>1</v>
      </c>
      <c r="AM112" s="1" t="s">
        <v>30</v>
      </c>
    </row>
    <row r="113">
      <c r="A113" s="1" t="s">
        <v>31</v>
      </c>
      <c r="B113" s="2">
        <v>1.1664645E7</v>
      </c>
      <c r="C113" s="1">
        <v>11.0</v>
      </c>
      <c r="E113" s="1">
        <v>5.0</v>
      </c>
      <c r="F113" s="1"/>
      <c r="G113" s="1"/>
      <c r="H113" s="1"/>
      <c r="I113" s="1"/>
      <c r="J113" s="1"/>
      <c r="K113" s="1" t="s">
        <v>22</v>
      </c>
      <c r="L113" s="1"/>
      <c r="M113" s="6">
        <v>41574.0</v>
      </c>
      <c r="N113" s="6"/>
      <c r="O113" s="6"/>
      <c r="P113" s="6"/>
      <c r="Q113" s="7">
        <v>59.0</v>
      </c>
      <c r="R113" s="9" t="s">
        <v>23</v>
      </c>
      <c r="S113" s="9">
        <v>1483.0</v>
      </c>
      <c r="T113" s="6">
        <v>53095.0</v>
      </c>
      <c r="U113" s="6">
        <v>284570.0</v>
      </c>
      <c r="V113" s="6">
        <v>15.0</v>
      </c>
      <c r="W113" s="6"/>
      <c r="X113" s="1">
        <v>23.0</v>
      </c>
      <c r="Y113" s="1" t="s">
        <v>23</v>
      </c>
      <c r="Z113" s="1">
        <v>1268.0</v>
      </c>
      <c r="AA113" s="6">
        <v>54388.0</v>
      </c>
      <c r="AB113" s="6">
        <v>140027.0</v>
      </c>
      <c r="AC113" s="6">
        <v>15.0</v>
      </c>
      <c r="AD113" s="6"/>
      <c r="AE113" s="1">
        <v>1.0</v>
      </c>
      <c r="AF113" s="1" t="s">
        <v>21</v>
      </c>
      <c r="AG113" s="1"/>
      <c r="AH113" s="6">
        <v>50244.0</v>
      </c>
      <c r="AL113" s="3">
        <f t="shared" si="7"/>
        <v>2</v>
      </c>
      <c r="AM113" s="1" t="s">
        <v>31</v>
      </c>
    </row>
    <row r="114">
      <c r="A114" s="1" t="s">
        <v>32</v>
      </c>
      <c r="B114" s="2">
        <v>1.0853597E7</v>
      </c>
      <c r="C114" s="1">
        <v>13.0</v>
      </c>
      <c r="E114" s="1">
        <v>4.0</v>
      </c>
      <c r="F114" s="1"/>
      <c r="G114" s="1"/>
      <c r="H114" s="1"/>
      <c r="I114" s="1"/>
      <c r="J114" s="1"/>
      <c r="K114" s="1" t="s">
        <v>22</v>
      </c>
      <c r="L114" s="1"/>
      <c r="M114" s="6">
        <v>32510.0</v>
      </c>
      <c r="N114" s="6"/>
      <c r="O114" s="6"/>
      <c r="P114" s="6"/>
      <c r="Q114" s="7">
        <v>102.0</v>
      </c>
      <c r="R114" s="8" t="s">
        <v>22</v>
      </c>
      <c r="S114" s="8"/>
      <c r="T114" s="6">
        <v>41948.0</v>
      </c>
      <c r="U114" s="6"/>
      <c r="V114" s="6"/>
      <c r="W114" s="6"/>
      <c r="X114" s="1">
        <v>5.0</v>
      </c>
      <c r="Y114" s="1" t="s">
        <v>23</v>
      </c>
      <c r="Z114" s="1">
        <v>629.0</v>
      </c>
      <c r="AA114" s="6">
        <v>38983.0</v>
      </c>
      <c r="AB114" s="6">
        <v>145896.0</v>
      </c>
      <c r="AC114" s="6">
        <v>13.0</v>
      </c>
      <c r="AD114" s="6"/>
      <c r="AE114" s="1">
        <v>10.0</v>
      </c>
      <c r="AF114" s="1" t="s">
        <v>23</v>
      </c>
      <c r="AG114" s="1">
        <v>608.0</v>
      </c>
      <c r="AH114" s="6">
        <v>36101.0</v>
      </c>
      <c r="AI114" s="6">
        <v>167095.0</v>
      </c>
      <c r="AJ114" s="6">
        <v>11.0</v>
      </c>
      <c r="AL114" s="3">
        <f t="shared" si="7"/>
        <v>2</v>
      </c>
      <c r="AM114" s="1" t="s">
        <v>32</v>
      </c>
    </row>
    <row r="115">
      <c r="A115" s="1" t="s">
        <v>33</v>
      </c>
      <c r="B115" s="2">
        <v>1.4404976E7</v>
      </c>
      <c r="C115" s="1">
        <v>14.0</v>
      </c>
      <c r="E115" s="1">
        <v>4.0</v>
      </c>
      <c r="F115" s="1"/>
      <c r="G115" s="1"/>
      <c r="H115" s="1"/>
      <c r="I115" s="1"/>
      <c r="J115" s="1"/>
      <c r="K115" s="1" t="s">
        <v>22</v>
      </c>
      <c r="L115" s="1"/>
      <c r="M115" s="6">
        <v>33516.0</v>
      </c>
      <c r="N115" s="6"/>
      <c r="O115" s="6"/>
      <c r="P115" s="6"/>
      <c r="Q115" s="7">
        <v>207.0</v>
      </c>
      <c r="R115" s="8" t="s">
        <v>22</v>
      </c>
      <c r="S115" s="8"/>
      <c r="T115" s="6">
        <v>55787.0</v>
      </c>
      <c r="U115" s="6"/>
      <c r="V115" s="6"/>
      <c r="W115" s="6"/>
      <c r="X115" s="1">
        <v>5.0</v>
      </c>
      <c r="Y115" s="1" t="s">
        <v>23</v>
      </c>
      <c r="Z115" s="1">
        <v>1570.0</v>
      </c>
      <c r="AA115" s="6">
        <v>67299.0</v>
      </c>
      <c r="AB115" s="6">
        <v>198628.0</v>
      </c>
      <c r="AC115" s="6">
        <v>16.0</v>
      </c>
      <c r="AD115" s="6"/>
      <c r="AE115" s="1">
        <v>11.0</v>
      </c>
      <c r="AF115" s="1" t="s">
        <v>23</v>
      </c>
      <c r="AG115" s="1">
        <v>1588.0</v>
      </c>
      <c r="AH115" s="6">
        <v>66035.0</v>
      </c>
      <c r="AI115" s="6">
        <v>261090.0</v>
      </c>
      <c r="AJ115" s="6">
        <v>23.0</v>
      </c>
      <c r="AL115" s="3">
        <f t="shared" si="7"/>
        <v>2</v>
      </c>
      <c r="AM115" s="1" t="s">
        <v>33</v>
      </c>
    </row>
    <row r="116">
      <c r="A116" s="1" t="s">
        <v>75</v>
      </c>
      <c r="B116" s="2">
        <v>1.1195043E7</v>
      </c>
      <c r="C116" s="1">
        <v>11.0</v>
      </c>
      <c r="E116" s="1">
        <v>6.0</v>
      </c>
      <c r="F116" s="1"/>
      <c r="G116" s="1"/>
      <c r="H116" s="1"/>
      <c r="I116" s="1"/>
      <c r="J116" s="1"/>
      <c r="K116" s="1" t="s">
        <v>22</v>
      </c>
      <c r="L116" s="1"/>
      <c r="M116" s="6">
        <v>51100.0</v>
      </c>
      <c r="N116" s="6"/>
      <c r="O116" s="6"/>
      <c r="P116" s="6"/>
      <c r="Q116" s="7">
        <v>10.0</v>
      </c>
      <c r="R116" s="9" t="s">
        <v>23</v>
      </c>
      <c r="S116" s="9">
        <v>1086.0</v>
      </c>
      <c r="T116" s="6">
        <v>51545.0</v>
      </c>
      <c r="U116" s="6">
        <v>158593.0</v>
      </c>
      <c r="V116" s="6">
        <v>11.0</v>
      </c>
      <c r="W116" s="6"/>
      <c r="X116" s="1">
        <v>1.0</v>
      </c>
      <c r="Y116" s="1" t="s">
        <v>23</v>
      </c>
      <c r="Z116" s="1">
        <v>1189.0</v>
      </c>
      <c r="AA116" s="6">
        <v>55077.0</v>
      </c>
      <c r="AB116" s="6">
        <v>150403.0</v>
      </c>
      <c r="AC116" s="6">
        <v>12.0</v>
      </c>
      <c r="AD116" s="6"/>
      <c r="AE116" s="1">
        <v>2.0</v>
      </c>
      <c r="AF116" s="1" t="s">
        <v>23</v>
      </c>
      <c r="AG116" s="1">
        <v>1176.0</v>
      </c>
      <c r="AH116" s="6">
        <v>52915.0</v>
      </c>
      <c r="AI116" s="6">
        <v>339854.0</v>
      </c>
      <c r="AJ116" s="6">
        <v>10.0</v>
      </c>
      <c r="AL116" s="3">
        <f t="shared" si="7"/>
        <v>3</v>
      </c>
      <c r="AM116" s="1" t="s">
        <v>75</v>
      </c>
    </row>
    <row r="117">
      <c r="A117" s="1" t="s">
        <v>34</v>
      </c>
      <c r="B117" s="2">
        <v>7284727.0</v>
      </c>
      <c r="C117" s="1">
        <v>8.0</v>
      </c>
      <c r="E117" s="1">
        <v>1.0</v>
      </c>
      <c r="F117" s="1"/>
      <c r="G117" s="1"/>
      <c r="H117" s="1"/>
      <c r="I117" s="1"/>
      <c r="J117" s="1"/>
      <c r="K117" s="1" t="s">
        <v>21</v>
      </c>
      <c r="L117" s="1"/>
      <c r="M117" s="6">
        <v>33270.0</v>
      </c>
      <c r="N117" s="6"/>
      <c r="O117" s="6"/>
      <c r="P117" s="6"/>
      <c r="Q117" s="7">
        <v>2.0</v>
      </c>
      <c r="R117" s="8" t="s">
        <v>21</v>
      </c>
      <c r="S117" s="8"/>
      <c r="T117" s="6">
        <v>32842.0</v>
      </c>
      <c r="U117" s="6"/>
      <c r="V117" s="6"/>
      <c r="W117" s="6"/>
      <c r="X117" s="1">
        <v>4.0</v>
      </c>
      <c r="Y117" s="1" t="s">
        <v>23</v>
      </c>
      <c r="Z117" s="1">
        <v>800.0</v>
      </c>
      <c r="AA117" s="6">
        <v>33723.0</v>
      </c>
      <c r="AB117" s="6">
        <v>204332.0</v>
      </c>
      <c r="AC117" s="6">
        <v>9.0</v>
      </c>
      <c r="AD117" s="6"/>
      <c r="AE117" s="1">
        <v>4.0</v>
      </c>
      <c r="AF117" s="1" t="s">
        <v>23</v>
      </c>
      <c r="AG117" s="1">
        <v>744.0</v>
      </c>
      <c r="AH117" s="6">
        <v>32602.0</v>
      </c>
      <c r="AI117" s="6">
        <v>309626.0</v>
      </c>
      <c r="AJ117" s="6">
        <v>7.0</v>
      </c>
      <c r="AL117" s="3">
        <f t="shared" si="7"/>
        <v>2</v>
      </c>
      <c r="AM117" s="1" t="s">
        <v>34</v>
      </c>
    </row>
    <row r="118">
      <c r="A118" s="1" t="s">
        <v>73</v>
      </c>
      <c r="B118" s="2">
        <v>1.0471201E7</v>
      </c>
      <c r="C118" s="1">
        <v>11.0</v>
      </c>
      <c r="E118" s="1">
        <v>11.0</v>
      </c>
      <c r="F118" s="1"/>
      <c r="G118" s="1"/>
      <c r="H118" s="1"/>
      <c r="I118" s="1"/>
      <c r="J118" s="1"/>
      <c r="K118" s="1" t="s">
        <v>22</v>
      </c>
      <c r="L118" s="1"/>
      <c r="M118" s="6">
        <v>34716.0</v>
      </c>
      <c r="N118" s="6"/>
      <c r="O118" s="6"/>
      <c r="P118" s="6"/>
      <c r="Q118" s="7">
        <v>123.0</v>
      </c>
      <c r="R118" s="8" t="s">
        <v>22</v>
      </c>
      <c r="S118" s="8"/>
      <c r="T118" s="6">
        <v>51336.0</v>
      </c>
      <c r="U118" s="6"/>
      <c r="V118" s="6"/>
      <c r="W118" s="6"/>
      <c r="X118" s="1">
        <v>14.0</v>
      </c>
      <c r="Y118" s="1" t="s">
        <v>23</v>
      </c>
      <c r="Z118" s="1">
        <v>1096.0</v>
      </c>
      <c r="AA118" s="6">
        <v>44285.0</v>
      </c>
      <c r="AB118" s="6">
        <v>430619.0</v>
      </c>
      <c r="AC118" s="6">
        <v>16.0</v>
      </c>
      <c r="AD118" s="6"/>
      <c r="AE118" s="1">
        <v>32.0</v>
      </c>
      <c r="AF118" s="1" t="s">
        <v>23</v>
      </c>
      <c r="AG118" s="1">
        <v>1076.0</v>
      </c>
      <c r="AH118" s="6">
        <v>50416.0</v>
      </c>
      <c r="AI118" s="6">
        <v>294972.0</v>
      </c>
      <c r="AJ118" s="6">
        <v>13.0</v>
      </c>
      <c r="AL118" s="3">
        <f t="shared" si="7"/>
        <v>2</v>
      </c>
      <c r="AM118" s="1" t="s">
        <v>73</v>
      </c>
    </row>
    <row r="120">
      <c r="A120" s="1" t="s">
        <v>78</v>
      </c>
      <c r="Q120" s="1" t="s">
        <v>79</v>
      </c>
      <c r="X120" s="1" t="s">
        <v>80</v>
      </c>
    </row>
    <row r="121">
      <c r="A121" s="1" t="s">
        <v>74</v>
      </c>
      <c r="E121" s="6">
        <v>221.0</v>
      </c>
      <c r="F121" s="6"/>
      <c r="G121" s="6"/>
      <c r="H121" s="6"/>
      <c r="I121" s="6"/>
      <c r="J121" s="6"/>
      <c r="K121" s="10" t="s">
        <v>22</v>
      </c>
      <c r="M121" s="11">
        <v>24887.0</v>
      </c>
    </row>
    <row r="122">
      <c r="A122" s="1" t="s">
        <v>20</v>
      </c>
      <c r="E122" s="6">
        <v>44.0</v>
      </c>
      <c r="F122" s="6"/>
      <c r="G122" s="6"/>
      <c r="H122" s="6"/>
      <c r="I122" s="6"/>
      <c r="J122" s="6"/>
      <c r="K122" s="12" t="s">
        <v>23</v>
      </c>
      <c r="L122" s="1">
        <v>795.0</v>
      </c>
      <c r="M122" s="11">
        <v>32429.0</v>
      </c>
      <c r="N122" s="6">
        <v>240625.0</v>
      </c>
      <c r="O122" s="6">
        <v>10.0</v>
      </c>
    </row>
    <row r="123">
      <c r="A123" s="1" t="s">
        <v>24</v>
      </c>
      <c r="E123" s="6">
        <v>2.0</v>
      </c>
      <c r="F123" s="6"/>
      <c r="G123" s="6"/>
      <c r="H123" s="6"/>
      <c r="I123" s="6"/>
      <c r="J123" s="6"/>
      <c r="K123" s="12" t="s">
        <v>23</v>
      </c>
      <c r="L123" s="1">
        <v>896.0</v>
      </c>
      <c r="M123" s="6">
        <v>26647.0</v>
      </c>
      <c r="N123" s="6">
        <v>134851.0</v>
      </c>
      <c r="O123" s="6">
        <v>8.0</v>
      </c>
    </row>
    <row r="124">
      <c r="A124" s="1" t="s">
        <v>25</v>
      </c>
      <c r="B124" s="1"/>
      <c r="E124" s="6">
        <v>1.0</v>
      </c>
      <c r="F124" s="6"/>
      <c r="G124" s="6"/>
      <c r="H124" s="6"/>
      <c r="I124" s="6"/>
      <c r="J124" s="6"/>
      <c r="K124" s="12" t="s">
        <v>23</v>
      </c>
      <c r="L124" s="1">
        <v>871.0</v>
      </c>
      <c r="M124" s="6">
        <v>32410.0</v>
      </c>
      <c r="N124" s="6">
        <v>190670.0</v>
      </c>
      <c r="O124" s="6">
        <v>11.0</v>
      </c>
    </row>
    <row r="127">
      <c r="A127" s="1" t="s">
        <v>51</v>
      </c>
      <c r="B127" s="1"/>
      <c r="E127" s="6">
        <v>4.0</v>
      </c>
      <c r="F127" s="6"/>
      <c r="G127" s="6"/>
      <c r="H127" s="6"/>
      <c r="I127" s="6"/>
      <c r="J127" s="6"/>
      <c r="K127" s="12" t="s">
        <v>23</v>
      </c>
      <c r="L127" s="1">
        <v>1068.0</v>
      </c>
      <c r="M127" s="11">
        <v>38622.0</v>
      </c>
      <c r="N127" s="6">
        <v>331823.0</v>
      </c>
      <c r="O127" s="6">
        <v>13.0</v>
      </c>
    </row>
    <row r="136">
      <c r="A136" s="1"/>
    </row>
    <row r="139">
      <c r="B139" s="1"/>
    </row>
    <row r="141">
      <c r="A141" s="1" t="s">
        <v>81</v>
      </c>
    </row>
    <row r="142">
      <c r="A142" s="1" t="s">
        <v>74</v>
      </c>
      <c r="B142" s="1"/>
      <c r="E142" s="6">
        <v>38.0</v>
      </c>
      <c r="F142" s="6"/>
      <c r="G142" s="6"/>
      <c r="H142" s="6"/>
      <c r="I142" s="6"/>
      <c r="J142" s="6"/>
      <c r="K142" s="12" t="s">
        <v>23</v>
      </c>
      <c r="L142" s="1">
        <v>26.0</v>
      </c>
      <c r="M142" s="2">
        <v>28004.0</v>
      </c>
      <c r="N142" s="2">
        <v>323784.0</v>
      </c>
      <c r="O142" s="6">
        <v>13.0</v>
      </c>
    </row>
    <row r="143">
      <c r="A143" s="1" t="s">
        <v>20</v>
      </c>
      <c r="B143" s="1"/>
      <c r="E143" s="6">
        <v>46.0</v>
      </c>
      <c r="F143" s="6"/>
      <c r="G143" s="6"/>
      <c r="H143" s="6"/>
      <c r="I143" s="6"/>
      <c r="J143" s="6"/>
      <c r="K143" s="10" t="s">
        <v>23</v>
      </c>
      <c r="L143" s="1">
        <v>25.0</v>
      </c>
      <c r="M143" s="2">
        <v>32324.0</v>
      </c>
      <c r="N143" s="2">
        <v>307152.0</v>
      </c>
      <c r="O143" s="6">
        <v>11.0</v>
      </c>
    </row>
    <row r="144">
      <c r="A144" s="1" t="s">
        <v>24</v>
      </c>
      <c r="B144" s="1"/>
      <c r="E144" s="6">
        <v>1.0</v>
      </c>
      <c r="F144" s="6"/>
      <c r="G144" s="6"/>
      <c r="H144" s="6"/>
      <c r="I144" s="6"/>
      <c r="J144" s="6"/>
      <c r="K144" s="10" t="s">
        <v>23</v>
      </c>
      <c r="L144" s="1">
        <v>25.0</v>
      </c>
      <c r="M144" s="2">
        <v>24780.0</v>
      </c>
      <c r="N144" s="2">
        <v>197661.0</v>
      </c>
      <c r="O144" s="6">
        <v>8.0</v>
      </c>
    </row>
    <row r="145">
      <c r="A145" s="1" t="s">
        <v>25</v>
      </c>
      <c r="E145" s="6">
        <v>2.0</v>
      </c>
      <c r="F145" s="6"/>
      <c r="G145" s="6"/>
      <c r="H145" s="6"/>
      <c r="I145" s="6"/>
      <c r="J145" s="6"/>
      <c r="K145" s="10" t="s">
        <v>23</v>
      </c>
      <c r="L145" s="1">
        <v>32.0</v>
      </c>
      <c r="M145" s="2">
        <v>32977.0</v>
      </c>
      <c r="N145" s="2">
        <v>163252.0</v>
      </c>
      <c r="O145" s="6">
        <v>10.0</v>
      </c>
    </row>
    <row r="146">
      <c r="A146" s="1" t="s">
        <v>52</v>
      </c>
      <c r="E146" s="6">
        <v>102.0</v>
      </c>
      <c r="F146" s="6"/>
      <c r="G146" s="6"/>
      <c r="H146" s="6"/>
      <c r="I146" s="6"/>
      <c r="J146" s="6"/>
      <c r="K146" s="10" t="s">
        <v>22</v>
      </c>
      <c r="M146" s="2">
        <v>34410.0</v>
      </c>
    </row>
    <row r="156" ht="20.2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0.38"/>
    <col customWidth="1" min="10" max="10" width="9.13"/>
    <col customWidth="1" min="11" max="11" width="8.88"/>
    <col customWidth="1" min="12" max="12" width="10.38"/>
    <col customWidth="1" min="17" max="17" width="8.38"/>
    <col customWidth="1" min="20" max="20" width="10.38"/>
    <col customWidth="1" min="21" max="21" width="8.38"/>
    <col customWidth="1" min="22" max="22" width="34.63"/>
    <col customWidth="1" min="23" max="23" width="19.13"/>
  </cols>
  <sheetData>
    <row r="1">
      <c r="A1" s="1" t="s">
        <v>82</v>
      </c>
      <c r="B1" s="13" t="s">
        <v>83</v>
      </c>
      <c r="L1" s="13" t="s">
        <v>84</v>
      </c>
      <c r="V1" s="1" t="s">
        <v>85</v>
      </c>
      <c r="W1" s="13" t="s">
        <v>83</v>
      </c>
      <c r="AG1" s="13" t="s">
        <v>84</v>
      </c>
    </row>
    <row r="2">
      <c r="A2" s="1" t="s">
        <v>86</v>
      </c>
      <c r="B2" s="1" t="s">
        <v>87</v>
      </c>
      <c r="C2" s="1" t="s">
        <v>88</v>
      </c>
      <c r="D2" s="1" t="s">
        <v>89</v>
      </c>
      <c r="E2" s="1" t="s">
        <v>90</v>
      </c>
      <c r="F2" s="1" t="s">
        <v>91</v>
      </c>
      <c r="G2" s="1" t="s">
        <v>92</v>
      </c>
      <c r="H2" s="1" t="s">
        <v>3</v>
      </c>
      <c r="I2" s="1" t="s">
        <v>4</v>
      </c>
      <c r="J2" s="1" t="s">
        <v>93</v>
      </c>
      <c r="K2" s="1" t="s">
        <v>94</v>
      </c>
      <c r="L2" s="1" t="s">
        <v>95</v>
      </c>
      <c r="M2" s="1" t="s">
        <v>88</v>
      </c>
      <c r="N2" s="1" t="s">
        <v>89</v>
      </c>
      <c r="O2" s="1" t="s">
        <v>90</v>
      </c>
      <c r="P2" s="1" t="s">
        <v>91</v>
      </c>
      <c r="Q2" s="1" t="s">
        <v>92</v>
      </c>
      <c r="R2" s="1" t="s">
        <v>3</v>
      </c>
      <c r="S2" s="1" t="s">
        <v>4</v>
      </c>
      <c r="T2" s="1" t="s">
        <v>96</v>
      </c>
      <c r="U2" s="1" t="s">
        <v>94</v>
      </c>
      <c r="V2" s="1" t="s">
        <v>86</v>
      </c>
      <c r="W2" s="1" t="s">
        <v>87</v>
      </c>
      <c r="X2" s="1" t="s">
        <v>88</v>
      </c>
      <c r="Y2" s="1" t="s">
        <v>89</v>
      </c>
      <c r="Z2" s="1" t="s">
        <v>90</v>
      </c>
      <c r="AA2" s="1" t="s">
        <v>91</v>
      </c>
      <c r="AB2" s="1" t="s">
        <v>92</v>
      </c>
      <c r="AC2" s="1" t="s">
        <v>3</v>
      </c>
      <c r="AD2" s="1" t="s">
        <v>4</v>
      </c>
      <c r="AE2" s="1" t="s">
        <v>93</v>
      </c>
      <c r="AF2" s="1" t="s">
        <v>94</v>
      </c>
      <c r="AG2" s="1" t="s">
        <v>95</v>
      </c>
      <c r="AH2" s="1" t="s">
        <v>88</v>
      </c>
      <c r="AI2" s="1" t="s">
        <v>89</v>
      </c>
      <c r="AJ2" s="1" t="s">
        <v>90</v>
      </c>
      <c r="AK2" s="1" t="s">
        <v>91</v>
      </c>
      <c r="AL2" s="1" t="s">
        <v>92</v>
      </c>
      <c r="AM2" s="1" t="s">
        <v>3</v>
      </c>
      <c r="AN2" s="1" t="s">
        <v>4</v>
      </c>
      <c r="AO2" s="1" t="s">
        <v>96</v>
      </c>
      <c r="AP2" s="1" t="s">
        <v>94</v>
      </c>
    </row>
    <row r="3">
      <c r="A3" s="1" t="s">
        <v>97</v>
      </c>
      <c r="B3" s="1">
        <v>49808.0</v>
      </c>
      <c r="C3" s="1">
        <v>154.0</v>
      </c>
      <c r="D3" s="1">
        <v>41.0</v>
      </c>
      <c r="E3" s="1">
        <v>1.0</v>
      </c>
      <c r="F3" s="1">
        <v>175.0</v>
      </c>
      <c r="G3" s="1">
        <v>2.0</v>
      </c>
      <c r="H3" s="1" t="s">
        <v>22</v>
      </c>
      <c r="I3" s="1"/>
      <c r="J3" s="1"/>
      <c r="K3" s="1"/>
      <c r="L3" s="1">
        <v>49539.0</v>
      </c>
      <c r="M3" s="1">
        <v>241.0</v>
      </c>
      <c r="N3" s="1">
        <v>43.0</v>
      </c>
      <c r="O3" s="1">
        <v>1.0</v>
      </c>
      <c r="P3" s="1">
        <v>265.0</v>
      </c>
      <c r="Q3" s="1">
        <v>7.0</v>
      </c>
      <c r="R3" s="1" t="s">
        <v>21</v>
      </c>
      <c r="S3" s="1"/>
      <c r="T3" s="1"/>
      <c r="U3" s="1"/>
      <c r="V3" s="1" t="s">
        <v>97</v>
      </c>
      <c r="W3" s="1">
        <v>24887.0</v>
      </c>
      <c r="X3" s="1">
        <v>0.0</v>
      </c>
      <c r="Y3" s="1">
        <v>223.0</v>
      </c>
      <c r="Z3" s="1">
        <v>9.0</v>
      </c>
      <c r="AA3" s="1">
        <v>221.0</v>
      </c>
      <c r="AB3" s="1">
        <v>1.0</v>
      </c>
      <c r="AC3" s="1" t="s">
        <v>22</v>
      </c>
      <c r="AG3" s="1">
        <v>28004.0</v>
      </c>
      <c r="AH3" s="1">
        <v>0.0</v>
      </c>
      <c r="AI3" s="1">
        <v>49.0</v>
      </c>
      <c r="AJ3" s="1">
        <v>1.0</v>
      </c>
      <c r="AK3" s="1">
        <v>38.0</v>
      </c>
      <c r="AL3" s="1">
        <v>2.0</v>
      </c>
      <c r="AM3" s="1" t="s">
        <v>22</v>
      </c>
      <c r="AN3" s="1">
        <v>884.0</v>
      </c>
      <c r="AO3" s="1">
        <v>323784.0</v>
      </c>
      <c r="AP3" s="1">
        <v>13.0</v>
      </c>
    </row>
    <row r="4">
      <c r="A4" s="1" t="s">
        <v>98</v>
      </c>
      <c r="B4" s="1">
        <v>51188.0</v>
      </c>
      <c r="C4" s="1">
        <v>48.0</v>
      </c>
      <c r="D4" s="1">
        <v>93.0</v>
      </c>
      <c r="E4" s="1">
        <v>3.0</v>
      </c>
      <c r="F4" s="1">
        <v>124.0</v>
      </c>
      <c r="G4" s="1">
        <v>1.0</v>
      </c>
      <c r="H4" s="1" t="s">
        <v>22</v>
      </c>
      <c r="I4" s="1"/>
      <c r="J4" s="1"/>
      <c r="K4" s="1"/>
      <c r="L4" s="1">
        <v>48934.0</v>
      </c>
      <c r="M4" s="1">
        <v>20.0</v>
      </c>
      <c r="N4" s="1">
        <v>116.0</v>
      </c>
      <c r="O4" s="1">
        <v>5.0</v>
      </c>
      <c r="P4" s="1">
        <v>159.0</v>
      </c>
      <c r="Q4" s="1">
        <v>32.0</v>
      </c>
      <c r="R4" s="1" t="s">
        <v>22</v>
      </c>
      <c r="S4" s="9">
        <v>1218.0</v>
      </c>
      <c r="T4" s="1">
        <v>339596.0</v>
      </c>
      <c r="U4" s="1">
        <v>15.0</v>
      </c>
      <c r="V4" s="1" t="s">
        <v>98</v>
      </c>
      <c r="W4" s="1">
        <v>32429.0</v>
      </c>
      <c r="X4" s="1">
        <v>0.0</v>
      </c>
      <c r="Y4" s="1">
        <v>58.0</v>
      </c>
      <c r="Z4" s="1">
        <v>3.0</v>
      </c>
      <c r="AA4" s="1">
        <v>44.0</v>
      </c>
      <c r="AB4" s="1">
        <v>1.0</v>
      </c>
      <c r="AC4" s="1" t="s">
        <v>22</v>
      </c>
      <c r="AD4" s="1">
        <v>795.0</v>
      </c>
      <c r="AE4" s="1">
        <v>241561.0</v>
      </c>
      <c r="AF4" s="1">
        <v>10.0</v>
      </c>
      <c r="AG4" s="1">
        <v>32324.0</v>
      </c>
      <c r="AH4" s="1">
        <v>0.0</v>
      </c>
      <c r="AI4" s="1">
        <v>62.0</v>
      </c>
      <c r="AJ4" s="1">
        <v>1.0</v>
      </c>
      <c r="AK4" s="1">
        <v>46.0</v>
      </c>
      <c r="AL4" s="1">
        <v>2.0</v>
      </c>
      <c r="AM4" s="1" t="s">
        <v>22</v>
      </c>
      <c r="AN4" s="1">
        <v>916.0</v>
      </c>
      <c r="AO4" s="1">
        <v>307152.0</v>
      </c>
      <c r="AP4" s="1">
        <v>11.0</v>
      </c>
    </row>
    <row r="5">
      <c r="A5" s="1" t="s">
        <v>99</v>
      </c>
      <c r="B5" s="1">
        <v>54338.0</v>
      </c>
      <c r="C5" s="1">
        <v>0.0</v>
      </c>
      <c r="D5" s="1">
        <v>24.0</v>
      </c>
      <c r="E5" s="1">
        <v>1.0</v>
      </c>
      <c r="F5" s="1">
        <v>2.0</v>
      </c>
      <c r="G5" s="1">
        <v>0.0</v>
      </c>
      <c r="H5" s="1" t="s">
        <v>22</v>
      </c>
      <c r="I5" s="1"/>
      <c r="J5" s="1"/>
      <c r="K5" s="1"/>
      <c r="L5" s="1">
        <v>40096.0</v>
      </c>
      <c r="M5" s="1">
        <v>46.0</v>
      </c>
      <c r="N5" s="1">
        <v>79.0</v>
      </c>
      <c r="O5" s="1">
        <v>3.0</v>
      </c>
      <c r="P5" s="1">
        <v>107.0</v>
      </c>
      <c r="Q5" s="1">
        <v>0.0</v>
      </c>
      <c r="R5" s="1" t="s">
        <v>22</v>
      </c>
      <c r="S5" s="1"/>
      <c r="T5" s="1"/>
      <c r="U5" s="1"/>
      <c r="V5" s="1" t="s">
        <v>99</v>
      </c>
      <c r="W5" s="1">
        <v>0.0</v>
      </c>
      <c r="X5" s="1">
        <v>0.0</v>
      </c>
      <c r="Y5" s="1">
        <v>0.0</v>
      </c>
      <c r="Z5" s="1">
        <v>0.0</v>
      </c>
      <c r="AA5" s="1">
        <v>2.0</v>
      </c>
      <c r="AB5" s="1">
        <v>0.0</v>
      </c>
      <c r="AC5" s="1" t="s">
        <v>22</v>
      </c>
      <c r="AD5" s="1"/>
      <c r="AG5" s="1">
        <v>24780.0</v>
      </c>
      <c r="AH5" s="1">
        <v>0.0</v>
      </c>
      <c r="AI5" s="1">
        <v>24.0</v>
      </c>
      <c r="AJ5" s="1">
        <v>1.0</v>
      </c>
      <c r="AK5" s="1">
        <v>1.0</v>
      </c>
      <c r="AL5" s="1">
        <v>2.0</v>
      </c>
      <c r="AM5" s="1" t="s">
        <v>22</v>
      </c>
      <c r="AN5" s="1">
        <v>967.0</v>
      </c>
      <c r="AO5" s="1">
        <v>197661.0</v>
      </c>
      <c r="AP5" s="1">
        <v>8.0</v>
      </c>
    </row>
    <row r="6">
      <c r="A6" s="1" t="s">
        <v>100</v>
      </c>
      <c r="B6" s="1">
        <v>46407.0</v>
      </c>
      <c r="C6" s="1">
        <v>48.0</v>
      </c>
      <c r="D6" s="1">
        <v>78.0</v>
      </c>
      <c r="E6" s="1">
        <v>2.0</v>
      </c>
      <c r="F6" s="1">
        <v>109.0</v>
      </c>
      <c r="G6" s="1">
        <v>2.0</v>
      </c>
      <c r="H6" s="1" t="s">
        <v>22</v>
      </c>
      <c r="I6" s="1"/>
      <c r="J6" s="1"/>
      <c r="K6" s="1"/>
      <c r="L6" s="1">
        <v>88819.0</v>
      </c>
      <c r="M6" s="1">
        <v>4.0</v>
      </c>
      <c r="N6" s="1">
        <v>27.0</v>
      </c>
      <c r="O6" s="1">
        <v>1.0</v>
      </c>
      <c r="P6" s="1">
        <v>26.0</v>
      </c>
      <c r="Q6" s="1">
        <v>1.0</v>
      </c>
      <c r="R6" s="1" t="s">
        <v>22</v>
      </c>
      <c r="S6" s="1"/>
      <c r="T6" s="1"/>
      <c r="U6" s="1"/>
      <c r="V6" s="1" t="s">
        <v>101</v>
      </c>
      <c r="W6" s="1">
        <v>22215.0</v>
      </c>
      <c r="X6" s="1">
        <v>0.0</v>
      </c>
      <c r="Y6" s="1">
        <v>0.0</v>
      </c>
      <c r="Z6" s="1">
        <v>0.0</v>
      </c>
      <c r="AA6" s="1">
        <v>2.0</v>
      </c>
      <c r="AB6" s="1">
        <v>0.0</v>
      </c>
      <c r="AC6" s="1" t="s">
        <v>22</v>
      </c>
      <c r="AD6" s="1"/>
      <c r="AG6" s="1">
        <v>32977.0</v>
      </c>
      <c r="AH6" s="1">
        <v>0.0</v>
      </c>
      <c r="AI6" s="1">
        <v>25.0</v>
      </c>
      <c r="AJ6" s="1">
        <v>1.0</v>
      </c>
      <c r="AK6" s="1">
        <v>2.0</v>
      </c>
      <c r="AL6" s="1">
        <v>1.0</v>
      </c>
      <c r="AM6" s="1" t="s">
        <v>22</v>
      </c>
      <c r="AO6" s="1">
        <v>163252.0</v>
      </c>
      <c r="AP6" s="1">
        <v>10.0</v>
      </c>
    </row>
    <row r="7">
      <c r="A7" s="1" t="s">
        <v>102</v>
      </c>
      <c r="B7" s="1">
        <v>40224.0</v>
      </c>
      <c r="C7" s="1">
        <v>47.0</v>
      </c>
      <c r="D7" s="1">
        <v>82.0</v>
      </c>
      <c r="E7" s="1">
        <v>1.0</v>
      </c>
      <c r="F7" s="1">
        <v>109.0</v>
      </c>
      <c r="G7" s="1">
        <v>1.0</v>
      </c>
      <c r="H7" s="1" t="s">
        <v>22</v>
      </c>
      <c r="I7" s="1"/>
      <c r="J7" s="1"/>
      <c r="K7" s="1"/>
      <c r="L7" s="1">
        <v>39958.0</v>
      </c>
      <c r="M7" s="1">
        <v>0.0</v>
      </c>
      <c r="N7" s="1">
        <v>35.0</v>
      </c>
      <c r="O7" s="1">
        <v>3.0</v>
      </c>
      <c r="P7" s="1">
        <v>14.0</v>
      </c>
      <c r="Q7" s="1">
        <v>4.0</v>
      </c>
      <c r="R7" s="1" t="s">
        <v>22</v>
      </c>
      <c r="S7" s="9">
        <v>762.0</v>
      </c>
      <c r="T7" s="1">
        <v>194611.0</v>
      </c>
      <c r="U7" s="1">
        <v>11.0</v>
      </c>
      <c r="V7" s="1" t="s">
        <v>103</v>
      </c>
      <c r="W7" s="1">
        <v>45091.0</v>
      </c>
      <c r="X7" s="1">
        <v>0.0</v>
      </c>
      <c r="Y7" s="1">
        <v>125.0</v>
      </c>
      <c r="Z7" s="1">
        <v>1.0</v>
      </c>
      <c r="AA7" s="1">
        <v>103.0</v>
      </c>
      <c r="AB7" s="1">
        <v>0.0</v>
      </c>
      <c r="AC7" s="1" t="s">
        <v>22</v>
      </c>
      <c r="AD7" s="1"/>
      <c r="AG7" s="1">
        <v>44605.0</v>
      </c>
      <c r="AH7" s="1">
        <v>0.0</v>
      </c>
      <c r="AI7" s="1">
        <v>25.0</v>
      </c>
      <c r="AJ7" s="1">
        <v>1.0</v>
      </c>
      <c r="AK7" s="1">
        <v>2.0</v>
      </c>
      <c r="AL7" s="1">
        <v>0.0</v>
      </c>
      <c r="AM7" s="1" t="s">
        <v>21</v>
      </c>
      <c r="AN7" s="1" t="s">
        <v>77</v>
      </c>
      <c r="AO7" s="1">
        <v>36476.0</v>
      </c>
    </row>
    <row r="8">
      <c r="A8" s="1" t="s">
        <v>104</v>
      </c>
      <c r="B8" s="1">
        <v>64533.0</v>
      </c>
      <c r="C8" s="1">
        <v>48.0</v>
      </c>
      <c r="D8" s="1">
        <v>82.0</v>
      </c>
      <c r="E8" s="1">
        <v>1.0</v>
      </c>
      <c r="F8" s="1">
        <v>110.0</v>
      </c>
      <c r="G8" s="1">
        <v>1.0</v>
      </c>
      <c r="H8" s="1" t="s">
        <v>22</v>
      </c>
      <c r="I8" s="1"/>
      <c r="J8" s="1"/>
      <c r="K8" s="1"/>
      <c r="L8" s="1">
        <v>61034.0</v>
      </c>
      <c r="M8" s="1">
        <v>0.0</v>
      </c>
      <c r="N8" s="1">
        <v>27.0</v>
      </c>
      <c r="O8" s="1">
        <v>2.0</v>
      </c>
      <c r="P8" s="1">
        <v>7.0</v>
      </c>
      <c r="Q8" s="1">
        <v>0.0</v>
      </c>
      <c r="R8" s="1" t="s">
        <v>22</v>
      </c>
      <c r="S8" s="9">
        <v>1024.0</v>
      </c>
      <c r="T8" s="1">
        <v>321902.0</v>
      </c>
      <c r="U8" s="1">
        <v>13.0</v>
      </c>
      <c r="V8" s="1" t="s">
        <v>105</v>
      </c>
      <c r="W8" s="1">
        <v>34179.0</v>
      </c>
      <c r="X8" s="1">
        <v>0.0</v>
      </c>
      <c r="Y8" s="1">
        <v>24.0</v>
      </c>
      <c r="Z8" s="1">
        <v>1.0</v>
      </c>
      <c r="AA8" s="1">
        <v>1.0</v>
      </c>
      <c r="AB8" s="1">
        <v>1.0</v>
      </c>
      <c r="AC8" s="1" t="s">
        <v>22</v>
      </c>
      <c r="AD8" s="1">
        <v>742.0</v>
      </c>
      <c r="AE8" s="1">
        <v>259762.0</v>
      </c>
      <c r="AF8" s="1">
        <v>11.0</v>
      </c>
      <c r="AG8" s="1">
        <v>37649.0</v>
      </c>
      <c r="AH8" s="1">
        <v>0.0</v>
      </c>
      <c r="AI8" s="1">
        <v>28.0</v>
      </c>
      <c r="AJ8" s="1">
        <v>1.0</v>
      </c>
      <c r="AK8" s="1">
        <v>5.0</v>
      </c>
      <c r="AL8" s="1">
        <v>0.0</v>
      </c>
      <c r="AM8" s="1" t="s">
        <v>21</v>
      </c>
      <c r="AN8" s="1" t="s">
        <v>77</v>
      </c>
      <c r="AO8" s="1">
        <v>26747.0</v>
      </c>
    </row>
    <row r="9">
      <c r="A9" s="1" t="s">
        <v>106</v>
      </c>
      <c r="B9" s="1">
        <v>64564.0</v>
      </c>
      <c r="C9" s="1">
        <v>55.0</v>
      </c>
      <c r="D9" s="1">
        <v>81.0</v>
      </c>
      <c r="E9" s="1">
        <v>1.0</v>
      </c>
      <c r="F9" s="1">
        <v>121.0</v>
      </c>
      <c r="G9" s="1">
        <v>74.0</v>
      </c>
      <c r="H9" s="1" t="s">
        <v>22</v>
      </c>
      <c r="I9" s="1"/>
      <c r="J9" s="1"/>
      <c r="K9" s="1"/>
      <c r="L9" s="1">
        <v>41671.0</v>
      </c>
      <c r="M9" s="1">
        <v>3.0</v>
      </c>
      <c r="N9" s="1">
        <v>34.0</v>
      </c>
      <c r="O9" s="1">
        <v>1.0</v>
      </c>
      <c r="P9" s="1">
        <v>16.0</v>
      </c>
      <c r="Q9" s="1">
        <v>0.0</v>
      </c>
      <c r="R9" s="1" t="s">
        <v>22</v>
      </c>
      <c r="S9" s="1"/>
      <c r="T9" s="1"/>
      <c r="U9" s="1"/>
      <c r="V9" s="1" t="s">
        <v>107</v>
      </c>
      <c r="W9" s="1">
        <v>0.0</v>
      </c>
      <c r="X9" s="1">
        <v>0.0</v>
      </c>
      <c r="Y9" s="1">
        <v>0.0</v>
      </c>
      <c r="Z9" s="1">
        <v>0.0</v>
      </c>
      <c r="AA9" s="1">
        <v>2.0</v>
      </c>
      <c r="AB9" s="1">
        <v>0.0</v>
      </c>
      <c r="AC9" s="1" t="s">
        <v>22</v>
      </c>
      <c r="AD9" s="1"/>
      <c r="AG9" s="1">
        <v>19879.0</v>
      </c>
      <c r="AH9" s="1">
        <v>48.0</v>
      </c>
      <c r="AI9" s="1">
        <v>76.0</v>
      </c>
      <c r="AJ9" s="1">
        <v>36.0</v>
      </c>
      <c r="AK9" s="1">
        <v>139.0</v>
      </c>
      <c r="AL9" s="1">
        <v>0.0</v>
      </c>
      <c r="AM9" s="1" t="s">
        <v>22</v>
      </c>
      <c r="AN9" s="1" t="s">
        <v>77</v>
      </c>
    </row>
    <row r="10">
      <c r="A10" s="1" t="s">
        <v>108</v>
      </c>
      <c r="B10" s="1">
        <v>81946.0</v>
      </c>
      <c r="C10" s="1">
        <v>0.0</v>
      </c>
      <c r="D10" s="1">
        <v>25.0</v>
      </c>
      <c r="E10" s="1">
        <v>1.0</v>
      </c>
      <c r="F10" s="1">
        <v>4.0</v>
      </c>
      <c r="G10" s="1">
        <v>0.0</v>
      </c>
      <c r="H10" s="1" t="s">
        <v>21</v>
      </c>
      <c r="I10" s="1"/>
      <c r="J10" s="1"/>
      <c r="K10" s="1"/>
      <c r="L10" s="1">
        <v>55167.0</v>
      </c>
      <c r="M10" s="1">
        <v>50.0</v>
      </c>
      <c r="N10" s="1">
        <v>82.0</v>
      </c>
      <c r="O10" s="1">
        <v>1.0</v>
      </c>
      <c r="P10" s="1">
        <v>110.0</v>
      </c>
      <c r="Q10" s="1">
        <v>0.0</v>
      </c>
      <c r="R10" s="1" t="s">
        <v>22</v>
      </c>
      <c r="S10" s="1"/>
      <c r="T10" s="1"/>
      <c r="U10" s="1"/>
      <c r="V10" s="1" t="s">
        <v>109</v>
      </c>
      <c r="W10" s="1">
        <v>0.0</v>
      </c>
      <c r="X10" s="1">
        <v>0.0</v>
      </c>
      <c r="Y10" s="1">
        <v>0.0</v>
      </c>
      <c r="Z10" s="1">
        <v>0.0</v>
      </c>
      <c r="AA10" s="1">
        <v>2.0</v>
      </c>
      <c r="AB10" s="1">
        <v>0.0</v>
      </c>
      <c r="AC10" s="1" t="s">
        <v>22</v>
      </c>
      <c r="AD10" s="1"/>
      <c r="AG10" s="1">
        <v>61872.0</v>
      </c>
      <c r="AH10" s="1">
        <v>0.0</v>
      </c>
      <c r="AI10" s="1">
        <v>24.0</v>
      </c>
      <c r="AJ10" s="1">
        <v>1.0</v>
      </c>
      <c r="AK10" s="1">
        <v>1.0</v>
      </c>
      <c r="AL10" s="1">
        <v>0.0</v>
      </c>
      <c r="AM10" s="1" t="s">
        <v>21</v>
      </c>
      <c r="AN10" s="1" t="s">
        <v>77</v>
      </c>
      <c r="AO10" s="1">
        <v>3122.0</v>
      </c>
    </row>
    <row r="11">
      <c r="A11" s="1" t="s">
        <v>110</v>
      </c>
      <c r="B11" s="1">
        <v>58362.0</v>
      </c>
      <c r="C11" s="1">
        <v>49.0</v>
      </c>
      <c r="D11" s="1">
        <v>83.0</v>
      </c>
      <c r="E11" s="1">
        <v>1.0</v>
      </c>
      <c r="F11" s="1">
        <v>110.0</v>
      </c>
      <c r="G11" s="1">
        <v>1.0</v>
      </c>
      <c r="H11" s="1" t="s">
        <v>22</v>
      </c>
      <c r="I11" s="1"/>
      <c r="J11" s="1"/>
      <c r="K11" s="1"/>
      <c r="L11" s="1">
        <v>71492.0</v>
      </c>
      <c r="M11" s="1">
        <v>46.0</v>
      </c>
      <c r="N11" s="1">
        <v>76.0</v>
      </c>
      <c r="O11" s="1">
        <v>1.0</v>
      </c>
      <c r="P11" s="1">
        <v>105.0</v>
      </c>
      <c r="Q11" s="1">
        <v>1.0</v>
      </c>
      <c r="R11" s="1" t="s">
        <v>22</v>
      </c>
      <c r="S11" s="9">
        <v>1483.0</v>
      </c>
      <c r="T11" s="1">
        <v>284570.0</v>
      </c>
      <c r="U11" s="1">
        <v>15.0</v>
      </c>
      <c r="V11" s="1" t="s">
        <v>111</v>
      </c>
      <c r="W11" s="1">
        <v>29261.0</v>
      </c>
      <c r="X11" s="1">
        <v>0.0</v>
      </c>
      <c r="Y11" s="1">
        <v>24.0</v>
      </c>
      <c r="Z11" s="1">
        <v>1.0</v>
      </c>
      <c r="AA11" s="1">
        <v>1.0</v>
      </c>
      <c r="AB11" s="1">
        <v>0.0</v>
      </c>
      <c r="AC11" s="1" t="s">
        <v>22</v>
      </c>
      <c r="AD11" s="1">
        <v>860.0</v>
      </c>
      <c r="AE11" s="1">
        <v>189102.0</v>
      </c>
      <c r="AF11" s="1">
        <v>9.0</v>
      </c>
      <c r="AG11" s="1">
        <v>40094.0</v>
      </c>
      <c r="AH11" s="1">
        <v>1.0</v>
      </c>
      <c r="AI11" s="1">
        <v>25.0</v>
      </c>
      <c r="AJ11" s="1">
        <v>1.0</v>
      </c>
      <c r="AK11" s="1">
        <v>6.0</v>
      </c>
      <c r="AL11" s="1">
        <v>1.0</v>
      </c>
      <c r="AM11" s="1" t="s">
        <v>22</v>
      </c>
      <c r="AN11" s="1" t="s">
        <v>112</v>
      </c>
      <c r="AO11" s="1">
        <v>311690.0</v>
      </c>
      <c r="AP11" s="1">
        <v>17.0</v>
      </c>
    </row>
    <row r="12">
      <c r="A12" s="1" t="s">
        <v>113</v>
      </c>
      <c r="B12" s="1">
        <v>44898.0</v>
      </c>
      <c r="C12" s="1">
        <v>170.0</v>
      </c>
      <c r="D12" s="1">
        <v>33.0</v>
      </c>
      <c r="E12" s="1">
        <v>1.0</v>
      </c>
      <c r="F12" s="1">
        <v>185.0</v>
      </c>
      <c r="G12" s="1">
        <v>1.0</v>
      </c>
      <c r="H12" s="1" t="s">
        <v>22</v>
      </c>
      <c r="I12" s="1"/>
      <c r="J12" s="1"/>
      <c r="K12" s="1"/>
      <c r="L12" s="1">
        <v>53095.0</v>
      </c>
      <c r="M12" s="1">
        <v>7.0</v>
      </c>
      <c r="N12" s="1">
        <v>75.0</v>
      </c>
      <c r="O12" s="1">
        <v>1.0</v>
      </c>
      <c r="P12" s="1">
        <v>59.0</v>
      </c>
      <c r="Q12" s="1">
        <v>61.0</v>
      </c>
      <c r="R12" s="1" t="s">
        <v>22</v>
      </c>
      <c r="S12" s="1"/>
      <c r="T12" s="1"/>
      <c r="U12" s="1"/>
      <c r="V12" s="1" t="s">
        <v>114</v>
      </c>
      <c r="W12" s="1">
        <v>13857.0</v>
      </c>
      <c r="X12" s="1">
        <v>0.0</v>
      </c>
      <c r="Y12" s="1">
        <v>24.0</v>
      </c>
      <c r="Z12" s="1">
        <v>1.0</v>
      </c>
      <c r="AA12" s="1">
        <v>2.0</v>
      </c>
      <c r="AB12" s="1">
        <v>2.0</v>
      </c>
      <c r="AC12" s="1" t="s">
        <v>22</v>
      </c>
      <c r="AD12" s="1">
        <v>591.0</v>
      </c>
      <c r="AE12" s="1">
        <v>253397.0</v>
      </c>
      <c r="AF12" s="1">
        <v>8.0</v>
      </c>
      <c r="AG12" s="1">
        <v>31477.0</v>
      </c>
      <c r="AH12" s="1">
        <v>54.0</v>
      </c>
      <c r="AI12" s="1">
        <v>32.0</v>
      </c>
      <c r="AJ12" s="1">
        <v>1.0</v>
      </c>
      <c r="AK12" s="1">
        <v>65.0</v>
      </c>
      <c r="AL12" s="1">
        <v>0.0</v>
      </c>
      <c r="AM12" s="1" t="s">
        <v>21</v>
      </c>
      <c r="AN12" s="1" t="s">
        <v>77</v>
      </c>
      <c r="AO12" s="1">
        <v>6342.0</v>
      </c>
    </row>
    <row r="13">
      <c r="A13" s="1" t="s">
        <v>115</v>
      </c>
      <c r="B13" s="1">
        <v>68246.0</v>
      </c>
      <c r="C13" s="1">
        <v>0.0</v>
      </c>
      <c r="D13" s="1">
        <v>27.0</v>
      </c>
      <c r="E13" s="1">
        <v>1.0</v>
      </c>
      <c r="F13" s="1">
        <v>4.0</v>
      </c>
      <c r="G13" s="1">
        <v>1.0</v>
      </c>
      <c r="H13" s="1" t="s">
        <v>21</v>
      </c>
      <c r="I13" s="1"/>
      <c r="J13" s="1"/>
      <c r="K13" s="1"/>
      <c r="L13" s="1">
        <v>41948.0</v>
      </c>
      <c r="M13" s="1">
        <v>0.0</v>
      </c>
      <c r="N13" s="1">
        <v>124.0</v>
      </c>
      <c r="O13" s="1">
        <v>1.0</v>
      </c>
      <c r="P13" s="1">
        <v>102.0</v>
      </c>
      <c r="Q13" s="1">
        <v>0.0</v>
      </c>
      <c r="R13" s="1" t="s">
        <v>22</v>
      </c>
      <c r="S13" s="1"/>
      <c r="T13" s="1"/>
      <c r="U13" s="1"/>
      <c r="V13" s="1" t="s">
        <v>116</v>
      </c>
      <c r="W13" s="1">
        <v>34593.0</v>
      </c>
      <c r="X13" s="1">
        <v>1.0</v>
      </c>
      <c r="Y13" s="1">
        <v>45.0</v>
      </c>
      <c r="Z13" s="1">
        <v>1.0</v>
      </c>
      <c r="AA13" s="1">
        <v>24.0</v>
      </c>
      <c r="AB13" s="1">
        <v>0.0</v>
      </c>
      <c r="AC13" s="1" t="s">
        <v>22</v>
      </c>
      <c r="AD13" s="1">
        <v>735.0</v>
      </c>
      <c r="AE13" s="1">
        <v>360300.0</v>
      </c>
      <c r="AF13" s="1">
        <v>11.0</v>
      </c>
      <c r="AG13" s="1">
        <v>43475.0</v>
      </c>
      <c r="AH13" s="1">
        <v>325.0</v>
      </c>
      <c r="AI13" s="1">
        <v>67.0</v>
      </c>
      <c r="AJ13" s="1">
        <v>1.0</v>
      </c>
      <c r="AK13" s="1">
        <v>374.0</v>
      </c>
      <c r="AL13" s="1">
        <v>2.0</v>
      </c>
      <c r="AM13" s="1" t="s">
        <v>22</v>
      </c>
    </row>
    <row r="14">
      <c r="A14" s="1" t="s">
        <v>101</v>
      </c>
      <c r="B14" s="1">
        <v>35935.0</v>
      </c>
      <c r="C14" s="1">
        <v>0.0</v>
      </c>
      <c r="D14" s="1">
        <v>24.0</v>
      </c>
      <c r="E14" s="1">
        <v>3.0</v>
      </c>
      <c r="F14" s="1">
        <v>3.0</v>
      </c>
      <c r="G14" s="1">
        <v>0.0</v>
      </c>
      <c r="H14" s="1" t="s">
        <v>21</v>
      </c>
      <c r="I14" s="1"/>
      <c r="J14" s="1"/>
      <c r="K14" s="1"/>
      <c r="L14" s="1">
        <v>55787.0</v>
      </c>
      <c r="M14" s="1">
        <v>0.0</v>
      </c>
      <c r="N14" s="1">
        <v>25.0</v>
      </c>
      <c r="O14" s="1">
        <v>1.0</v>
      </c>
      <c r="P14" s="1">
        <v>5.0</v>
      </c>
      <c r="Q14" s="1">
        <v>1.0</v>
      </c>
      <c r="R14" s="1" t="s">
        <v>21</v>
      </c>
      <c r="S14" s="1"/>
      <c r="T14" s="1"/>
      <c r="U14" s="1"/>
      <c r="V14" s="1" t="s">
        <v>117</v>
      </c>
      <c r="W14" s="1">
        <v>21250.0</v>
      </c>
      <c r="X14" s="1">
        <v>0.0</v>
      </c>
      <c r="Y14" s="1">
        <v>24.0</v>
      </c>
      <c r="Z14" s="1">
        <v>1.0</v>
      </c>
      <c r="AA14" s="1">
        <v>1.0</v>
      </c>
      <c r="AB14" s="1">
        <v>18.0</v>
      </c>
      <c r="AC14" s="1" t="s">
        <v>22</v>
      </c>
      <c r="AD14" s="1">
        <v>648.0</v>
      </c>
      <c r="AE14" s="1">
        <v>280319.0</v>
      </c>
      <c r="AF14" s="1">
        <v>9.0</v>
      </c>
      <c r="AG14" s="1">
        <v>41066.0</v>
      </c>
      <c r="AH14" s="1">
        <v>0.0</v>
      </c>
      <c r="AI14" s="1">
        <v>29.0</v>
      </c>
      <c r="AJ14" s="1">
        <v>1.0</v>
      </c>
      <c r="AK14" s="1">
        <v>6.0</v>
      </c>
      <c r="AL14" s="1">
        <v>0.0</v>
      </c>
      <c r="AM14" s="1" t="s">
        <v>21</v>
      </c>
      <c r="AO14" s="1">
        <v>16198.0</v>
      </c>
    </row>
    <row r="15">
      <c r="A15" s="1" t="s">
        <v>103</v>
      </c>
      <c r="B15" s="1">
        <v>63339.0</v>
      </c>
      <c r="C15" s="1">
        <v>0.0</v>
      </c>
      <c r="D15" s="1">
        <v>125.0</v>
      </c>
      <c r="E15" s="1">
        <v>1.0</v>
      </c>
      <c r="F15" s="1">
        <v>103.0</v>
      </c>
      <c r="G15" s="1">
        <v>0.0</v>
      </c>
      <c r="H15" s="1" t="s">
        <v>22</v>
      </c>
      <c r="I15" s="1"/>
      <c r="J15" s="1"/>
      <c r="K15" s="1"/>
      <c r="L15" s="1">
        <v>40096.0</v>
      </c>
      <c r="M15" s="1">
        <v>0.0</v>
      </c>
      <c r="N15" s="1">
        <v>25.0</v>
      </c>
      <c r="O15" s="1">
        <v>1.0</v>
      </c>
      <c r="P15" s="1">
        <v>2.0</v>
      </c>
      <c r="Q15" s="1">
        <v>4.0</v>
      </c>
      <c r="R15" s="1" t="s">
        <v>21</v>
      </c>
      <c r="S15" s="1"/>
      <c r="T15" s="1"/>
      <c r="U15" s="1"/>
      <c r="V15" s="1" t="s">
        <v>118</v>
      </c>
      <c r="W15" s="1">
        <v>48143.0</v>
      </c>
      <c r="X15" s="1">
        <v>1.0</v>
      </c>
      <c r="Y15" s="1">
        <v>27.0</v>
      </c>
      <c r="Z15" s="1">
        <v>1.0</v>
      </c>
      <c r="AA15" s="1">
        <v>9.0</v>
      </c>
      <c r="AB15" s="1">
        <v>3.0</v>
      </c>
      <c r="AC15" s="1" t="s">
        <v>22</v>
      </c>
      <c r="AD15" s="1">
        <v>798.0</v>
      </c>
      <c r="AE15" s="1">
        <v>311453.0</v>
      </c>
      <c r="AF15" s="1">
        <v>14.0</v>
      </c>
      <c r="AG15" s="1">
        <v>45682.0</v>
      </c>
      <c r="AH15" s="1">
        <v>2.0</v>
      </c>
      <c r="AI15" s="1">
        <v>30.0</v>
      </c>
      <c r="AJ15" s="1">
        <v>1.0</v>
      </c>
      <c r="AK15" s="1">
        <v>19.0</v>
      </c>
      <c r="AL15" s="1">
        <v>2.0</v>
      </c>
      <c r="AM15" s="1" t="s">
        <v>22</v>
      </c>
      <c r="AN15" s="1">
        <v>887.0</v>
      </c>
      <c r="AO15" s="1">
        <v>344312.0</v>
      </c>
      <c r="AP15" s="1">
        <v>19.0</v>
      </c>
    </row>
    <row r="16">
      <c r="A16" s="1" t="s">
        <v>105</v>
      </c>
      <c r="B16" s="1">
        <v>39541.0</v>
      </c>
      <c r="C16" s="1">
        <v>0.0</v>
      </c>
      <c r="D16" s="1">
        <v>25.0</v>
      </c>
      <c r="E16" s="1">
        <v>2.0</v>
      </c>
      <c r="F16" s="1">
        <v>5.0</v>
      </c>
      <c r="G16" s="1">
        <v>0.0</v>
      </c>
      <c r="H16" s="1" t="s">
        <v>22</v>
      </c>
      <c r="I16" s="1"/>
      <c r="J16" s="1"/>
      <c r="K16" s="1"/>
      <c r="L16" s="1">
        <v>61142.0</v>
      </c>
      <c r="M16" s="1">
        <v>46.0</v>
      </c>
      <c r="N16" s="1">
        <v>79.0</v>
      </c>
      <c r="O16" s="1">
        <v>3.0</v>
      </c>
      <c r="P16" s="1">
        <v>107.0</v>
      </c>
      <c r="Q16" s="1">
        <v>0.0</v>
      </c>
      <c r="R16" s="1" t="s">
        <v>22</v>
      </c>
      <c r="S16" s="1"/>
      <c r="T16" s="1"/>
      <c r="U16" s="1"/>
      <c r="V16" s="1" t="s">
        <v>119</v>
      </c>
      <c r="W16" s="1">
        <v>0.0</v>
      </c>
      <c r="X16" s="1">
        <v>0.0</v>
      </c>
      <c r="Y16" s="1">
        <v>0.0</v>
      </c>
      <c r="Z16" s="1">
        <v>0.0</v>
      </c>
      <c r="AA16" s="1">
        <v>2.0</v>
      </c>
      <c r="AB16" s="1">
        <v>0.0</v>
      </c>
      <c r="AC16" s="1" t="s">
        <v>22</v>
      </c>
      <c r="AD16" s="1"/>
      <c r="AG16" s="1">
        <v>52277.0</v>
      </c>
      <c r="AH16" s="1">
        <v>48.0</v>
      </c>
      <c r="AI16" s="1">
        <v>76.0</v>
      </c>
      <c r="AJ16" s="1">
        <v>1.0</v>
      </c>
      <c r="AK16" s="1">
        <v>102.0</v>
      </c>
      <c r="AL16" s="1">
        <v>0.0</v>
      </c>
      <c r="AM16" s="1" t="s">
        <v>22</v>
      </c>
    </row>
    <row r="17">
      <c r="A17" s="1" t="s">
        <v>107</v>
      </c>
      <c r="B17" s="1">
        <v>45182.0</v>
      </c>
      <c r="C17" s="1">
        <v>48.0</v>
      </c>
      <c r="D17" s="1">
        <v>78.0</v>
      </c>
      <c r="E17" s="1">
        <v>1.0</v>
      </c>
      <c r="F17" s="1">
        <v>104.0</v>
      </c>
      <c r="G17" s="1">
        <v>1.0</v>
      </c>
      <c r="H17" s="1" t="s">
        <v>22</v>
      </c>
      <c r="I17" s="1"/>
      <c r="J17" s="1"/>
      <c r="K17" s="1"/>
      <c r="L17" s="1">
        <v>37884.0</v>
      </c>
      <c r="M17" s="1">
        <v>0.0</v>
      </c>
      <c r="N17" s="1">
        <v>133.0</v>
      </c>
      <c r="O17" s="1">
        <v>3.0</v>
      </c>
      <c r="P17" s="1">
        <v>114.0</v>
      </c>
      <c r="Q17" s="1">
        <v>7.0</v>
      </c>
      <c r="R17" s="1" t="s">
        <v>22</v>
      </c>
      <c r="S17" s="1"/>
      <c r="T17" s="1"/>
      <c r="U17" s="1"/>
      <c r="V17" s="1" t="s">
        <v>120</v>
      </c>
      <c r="W17" s="1">
        <v>22215.0</v>
      </c>
      <c r="X17" s="1">
        <v>2.0</v>
      </c>
      <c r="Y17" s="1">
        <v>43.0</v>
      </c>
      <c r="Z17" s="1">
        <v>8.0</v>
      </c>
      <c r="AA17" s="1">
        <v>35.0</v>
      </c>
      <c r="AB17" s="1">
        <v>5.0</v>
      </c>
      <c r="AC17" s="1" t="s">
        <v>22</v>
      </c>
      <c r="AD17" s="1">
        <v>750.0</v>
      </c>
      <c r="AE17" s="1">
        <v>259237.0</v>
      </c>
      <c r="AF17" s="1">
        <v>9.0</v>
      </c>
      <c r="AG17" s="1">
        <v>36046.0</v>
      </c>
      <c r="AH17" s="1">
        <v>0.0</v>
      </c>
      <c r="AI17" s="1">
        <v>25.0</v>
      </c>
      <c r="AJ17" s="1">
        <v>1.0</v>
      </c>
      <c r="AK17" s="1">
        <v>4.0</v>
      </c>
      <c r="AL17" s="1">
        <v>0.0</v>
      </c>
      <c r="AM17" s="1" t="s">
        <v>22</v>
      </c>
    </row>
    <row r="18">
      <c r="A18" s="1" t="s">
        <v>109</v>
      </c>
      <c r="B18" s="1">
        <v>65423.0</v>
      </c>
      <c r="C18" s="1">
        <v>0.0</v>
      </c>
      <c r="D18" s="1">
        <v>24.0</v>
      </c>
      <c r="E18" s="1">
        <v>2.0</v>
      </c>
      <c r="F18" s="1">
        <v>4.0</v>
      </c>
      <c r="G18" s="1">
        <v>0.0</v>
      </c>
      <c r="H18" s="1" t="s">
        <v>22</v>
      </c>
      <c r="I18" s="1"/>
      <c r="J18" s="1"/>
      <c r="K18" s="1"/>
      <c r="L18" s="1">
        <v>61522.0</v>
      </c>
      <c r="M18" s="1">
        <v>45.0</v>
      </c>
      <c r="N18" s="1">
        <v>75.0</v>
      </c>
      <c r="O18" s="1">
        <v>1.0</v>
      </c>
      <c r="P18" s="1">
        <v>103.0</v>
      </c>
      <c r="Q18" s="1">
        <v>3.0</v>
      </c>
      <c r="R18" s="1" t="s">
        <v>22</v>
      </c>
      <c r="S18" s="1"/>
      <c r="T18" s="1"/>
      <c r="U18" s="1"/>
      <c r="V18" s="1" t="s">
        <v>121</v>
      </c>
      <c r="W18" s="1">
        <v>28577.0</v>
      </c>
      <c r="X18" s="1">
        <v>8.0</v>
      </c>
      <c r="Y18" s="1">
        <v>117.0</v>
      </c>
      <c r="Z18" s="1">
        <v>1.0</v>
      </c>
      <c r="AA18" s="1">
        <v>103.0</v>
      </c>
      <c r="AB18" s="1">
        <v>0.0</v>
      </c>
      <c r="AC18" s="1" t="s">
        <v>22</v>
      </c>
      <c r="AD18" s="1"/>
      <c r="AG18" s="1">
        <v>47085.0</v>
      </c>
      <c r="AH18" s="1">
        <v>0.0</v>
      </c>
      <c r="AI18" s="1">
        <v>26.0</v>
      </c>
      <c r="AJ18" s="1">
        <v>1.0</v>
      </c>
      <c r="AK18" s="1">
        <v>3.0</v>
      </c>
      <c r="AL18" s="1">
        <v>0.0</v>
      </c>
      <c r="AM18" s="1" t="s">
        <v>21</v>
      </c>
      <c r="AN18" s="1" t="s">
        <v>77</v>
      </c>
      <c r="AO18" s="1">
        <v>2953.0</v>
      </c>
    </row>
    <row r="19">
      <c r="A19" s="1" t="s">
        <v>111</v>
      </c>
      <c r="B19" s="1">
        <v>57175.0</v>
      </c>
      <c r="C19" s="1">
        <v>1.0</v>
      </c>
      <c r="D19" s="1">
        <v>31.0</v>
      </c>
      <c r="E19" s="1">
        <v>1.0</v>
      </c>
      <c r="F19" s="1">
        <v>11.0</v>
      </c>
      <c r="G19" s="1">
        <v>0.0</v>
      </c>
      <c r="H19" s="1" t="s">
        <v>22</v>
      </c>
      <c r="I19" s="1">
        <v>771.0</v>
      </c>
      <c r="J19" s="1">
        <v>388354.0</v>
      </c>
      <c r="K19" s="1">
        <v>15.0</v>
      </c>
      <c r="L19" s="1">
        <v>61522.0</v>
      </c>
      <c r="M19" s="1">
        <v>415.0</v>
      </c>
      <c r="N19" s="1">
        <v>123.0</v>
      </c>
      <c r="O19" s="1">
        <v>8.0</v>
      </c>
      <c r="P19" s="1">
        <v>529.0</v>
      </c>
      <c r="Q19" s="1">
        <v>3.0</v>
      </c>
      <c r="R19" s="1" t="s">
        <v>22</v>
      </c>
      <c r="S19" s="9">
        <v>1329.0</v>
      </c>
      <c r="T19" s="1">
        <v>335537.0</v>
      </c>
      <c r="U19" s="1">
        <v>17.0</v>
      </c>
      <c r="V19" s="1" t="s">
        <v>122</v>
      </c>
      <c r="W19" s="1">
        <v>39005.0</v>
      </c>
      <c r="X19" s="1">
        <v>0.0</v>
      </c>
      <c r="Y19" s="1">
        <v>25.0</v>
      </c>
      <c r="Z19" s="1">
        <v>1.0</v>
      </c>
      <c r="AA19" s="1">
        <v>4.0</v>
      </c>
      <c r="AB19" s="1">
        <v>0.0</v>
      </c>
      <c r="AC19" s="1" t="s">
        <v>22</v>
      </c>
      <c r="AD19" s="1"/>
      <c r="AG19" s="1">
        <v>53041.0</v>
      </c>
      <c r="AH19" s="1">
        <v>0.0</v>
      </c>
      <c r="AI19" s="1">
        <v>30.0</v>
      </c>
      <c r="AJ19" s="1">
        <v>1.0</v>
      </c>
      <c r="AK19" s="1">
        <v>7.0</v>
      </c>
      <c r="AL19" s="1">
        <v>0.0</v>
      </c>
      <c r="AM19" s="1" t="s">
        <v>21</v>
      </c>
      <c r="AN19" s="1" t="s">
        <v>77</v>
      </c>
      <c r="AO19" s="1">
        <v>13612.0</v>
      </c>
    </row>
    <row r="20">
      <c r="A20" s="1" t="s">
        <v>114</v>
      </c>
      <c r="B20" s="1">
        <v>35762.0</v>
      </c>
      <c r="C20" s="1">
        <v>211.0</v>
      </c>
      <c r="D20" s="1">
        <v>79.0</v>
      </c>
      <c r="E20" s="1">
        <v>1.0</v>
      </c>
      <c r="F20" s="1">
        <v>270.0</v>
      </c>
      <c r="G20" s="1">
        <v>2.0</v>
      </c>
      <c r="H20" s="1" t="s">
        <v>21</v>
      </c>
      <c r="I20" s="1"/>
      <c r="J20" s="1"/>
      <c r="K20" s="1"/>
      <c r="L20" s="1">
        <v>56471.0</v>
      </c>
      <c r="M20" s="1">
        <v>415.0</v>
      </c>
      <c r="N20" s="1">
        <v>123.0</v>
      </c>
      <c r="O20" s="1">
        <v>8.0</v>
      </c>
      <c r="P20" s="1">
        <v>529.0</v>
      </c>
      <c r="Q20" s="1">
        <v>3.0</v>
      </c>
      <c r="R20" s="1" t="s">
        <v>22</v>
      </c>
      <c r="S20" s="1"/>
      <c r="T20" s="1"/>
      <c r="U20" s="1"/>
      <c r="V20" s="1" t="s">
        <v>123</v>
      </c>
      <c r="W20" s="1">
        <v>0.0</v>
      </c>
      <c r="X20" s="1">
        <v>0.0</v>
      </c>
      <c r="Y20" s="1">
        <v>0.0</v>
      </c>
      <c r="Z20" s="1">
        <v>0.0</v>
      </c>
      <c r="AA20" s="1">
        <v>2.0</v>
      </c>
      <c r="AB20" s="1">
        <v>0.0</v>
      </c>
      <c r="AC20" s="1" t="s">
        <v>22</v>
      </c>
      <c r="AD20" s="1"/>
      <c r="AG20" s="1">
        <v>70549.0</v>
      </c>
      <c r="AH20" s="1">
        <v>10.0</v>
      </c>
      <c r="AI20" s="1">
        <v>46.0</v>
      </c>
      <c r="AJ20" s="1">
        <v>14.0</v>
      </c>
      <c r="AK20" s="1">
        <v>48.0</v>
      </c>
      <c r="AL20" s="1">
        <v>27.0</v>
      </c>
      <c r="AM20" s="1" t="s">
        <v>22</v>
      </c>
    </row>
    <row r="21">
      <c r="A21" s="1" t="s">
        <v>116</v>
      </c>
      <c r="B21" s="1">
        <v>46794.0</v>
      </c>
      <c r="C21" s="1">
        <v>201.0</v>
      </c>
      <c r="D21" s="1">
        <v>38.0</v>
      </c>
      <c r="E21" s="1">
        <v>1.0</v>
      </c>
      <c r="F21" s="1">
        <v>217.0</v>
      </c>
      <c r="G21" s="1">
        <v>2.0</v>
      </c>
      <c r="H21" s="1" t="s">
        <v>22</v>
      </c>
      <c r="I21" s="1"/>
      <c r="J21" s="1"/>
      <c r="K21" s="1"/>
      <c r="L21" s="1">
        <v>33639.0</v>
      </c>
      <c r="M21" s="1">
        <v>1.0</v>
      </c>
      <c r="N21" s="1">
        <v>24.0</v>
      </c>
      <c r="O21" s="1">
        <v>1.0</v>
      </c>
      <c r="P21" s="1">
        <v>2.0</v>
      </c>
      <c r="Q21" s="1">
        <v>0.0</v>
      </c>
      <c r="R21" s="1" t="s">
        <v>22</v>
      </c>
      <c r="S21" s="1"/>
      <c r="T21" s="1"/>
      <c r="U21" s="1"/>
      <c r="V21" s="1" t="s">
        <v>124</v>
      </c>
      <c r="W21" s="1">
        <v>32000.0</v>
      </c>
      <c r="X21" s="1">
        <v>0.0</v>
      </c>
      <c r="Y21" s="1">
        <v>25.0</v>
      </c>
      <c r="Z21" s="1">
        <v>1.0</v>
      </c>
      <c r="AA21" s="1">
        <v>4.0</v>
      </c>
      <c r="AB21" s="1">
        <v>0.0</v>
      </c>
      <c r="AC21" s="1" t="s">
        <v>22</v>
      </c>
      <c r="AD21" s="1"/>
      <c r="AG21" s="1">
        <v>40492.0</v>
      </c>
      <c r="AH21" s="1">
        <v>0.0</v>
      </c>
      <c r="AI21" s="1">
        <v>24.0</v>
      </c>
      <c r="AJ21" s="1">
        <v>1.0</v>
      </c>
      <c r="AK21" s="1">
        <v>1.0</v>
      </c>
      <c r="AL21" s="1">
        <v>0.0</v>
      </c>
      <c r="AM21" s="1" t="s">
        <v>21</v>
      </c>
      <c r="AN21" s="1" t="s">
        <v>77</v>
      </c>
      <c r="AO21" s="1">
        <v>7077.0</v>
      </c>
    </row>
    <row r="22">
      <c r="A22" s="1" t="s">
        <v>117</v>
      </c>
      <c r="B22" s="1">
        <v>57786.0</v>
      </c>
      <c r="C22" s="1">
        <v>47.0</v>
      </c>
      <c r="D22" s="1">
        <v>79.0</v>
      </c>
      <c r="E22" s="1">
        <v>1.0</v>
      </c>
      <c r="F22" s="1">
        <v>105.0</v>
      </c>
      <c r="G22" s="1">
        <v>60.0</v>
      </c>
      <c r="H22" s="1" t="s">
        <v>22</v>
      </c>
      <c r="I22" s="1"/>
      <c r="J22" s="1"/>
      <c r="K22" s="1"/>
      <c r="L22" s="1">
        <v>45275.0</v>
      </c>
      <c r="M22" s="1">
        <v>194.0</v>
      </c>
      <c r="N22" s="1">
        <v>100.0</v>
      </c>
      <c r="O22" s="1">
        <v>1.0</v>
      </c>
      <c r="P22" s="1">
        <v>275.0</v>
      </c>
      <c r="Q22" s="1">
        <v>2.0</v>
      </c>
      <c r="R22" s="1" t="s">
        <v>22</v>
      </c>
      <c r="S22" s="1"/>
      <c r="T22" s="1"/>
      <c r="U22" s="1"/>
      <c r="V22" s="1" t="s">
        <v>125</v>
      </c>
      <c r="W22" s="1">
        <v>34132.0</v>
      </c>
      <c r="X22" s="1">
        <v>0.0</v>
      </c>
      <c r="Y22" s="1">
        <v>1.0</v>
      </c>
      <c r="Z22" s="1">
        <v>0.0</v>
      </c>
      <c r="AA22" s="1">
        <v>3.0</v>
      </c>
      <c r="AB22" s="1">
        <v>0.0</v>
      </c>
      <c r="AC22" s="1" t="s">
        <v>22</v>
      </c>
      <c r="AD22" s="1"/>
      <c r="AG22" s="1">
        <v>53789.0</v>
      </c>
      <c r="AH22" s="1">
        <v>1.0</v>
      </c>
      <c r="AI22" s="1">
        <v>37.0</v>
      </c>
      <c r="AJ22" s="1">
        <v>1.0</v>
      </c>
      <c r="AK22" s="1">
        <v>20.0</v>
      </c>
      <c r="AL22" s="1">
        <v>0.0</v>
      </c>
      <c r="AM22" s="1" t="s">
        <v>22</v>
      </c>
    </row>
    <row r="23">
      <c r="A23" s="1" t="s">
        <v>118</v>
      </c>
      <c r="B23" s="1">
        <v>57603.0</v>
      </c>
      <c r="C23" s="1">
        <v>270.0</v>
      </c>
      <c r="D23" s="1">
        <v>101.0</v>
      </c>
      <c r="E23" s="1">
        <v>1.0</v>
      </c>
      <c r="F23" s="1">
        <v>357.0</v>
      </c>
      <c r="G23" s="1">
        <v>2.0</v>
      </c>
      <c r="H23" s="1" t="s">
        <v>22</v>
      </c>
      <c r="I23" s="1"/>
      <c r="J23" s="1"/>
      <c r="K23" s="1"/>
      <c r="L23" s="1">
        <v>54741.0</v>
      </c>
      <c r="M23" s="1">
        <v>0.0</v>
      </c>
      <c r="N23" s="1">
        <v>124.0</v>
      </c>
      <c r="O23" s="1">
        <v>1.0</v>
      </c>
      <c r="P23" s="1">
        <v>102.0</v>
      </c>
      <c r="Q23" s="1">
        <v>0.0</v>
      </c>
      <c r="R23" s="1" t="s">
        <v>22</v>
      </c>
      <c r="S23" s="1"/>
      <c r="T23" s="1"/>
      <c r="U23" s="1"/>
      <c r="V23" s="1" t="s">
        <v>126</v>
      </c>
      <c r="W23" s="1">
        <v>38622.0</v>
      </c>
      <c r="X23" s="1">
        <v>1.0</v>
      </c>
      <c r="Y23" s="1">
        <v>24.0</v>
      </c>
      <c r="Z23" s="1">
        <v>1.0</v>
      </c>
      <c r="AA23" s="1">
        <v>4.0</v>
      </c>
      <c r="AB23" s="1">
        <v>43.0</v>
      </c>
      <c r="AC23" s="1" t="s">
        <v>22</v>
      </c>
      <c r="AD23" s="1">
        <v>1068.0</v>
      </c>
      <c r="AE23" s="1">
        <v>331823.0</v>
      </c>
      <c r="AF23" s="1">
        <v>13.0</v>
      </c>
      <c r="AG23" s="1">
        <v>65054.0</v>
      </c>
      <c r="AH23" s="1">
        <v>0.0</v>
      </c>
      <c r="AI23" s="1">
        <v>24.0</v>
      </c>
      <c r="AJ23" s="1">
        <v>1.0</v>
      </c>
      <c r="AK23" s="1">
        <v>9.0</v>
      </c>
      <c r="AL23" s="1">
        <v>0.0</v>
      </c>
      <c r="AM23" s="1" t="s">
        <v>21</v>
      </c>
      <c r="AN23" s="1" t="s">
        <v>77</v>
      </c>
      <c r="AO23" s="1">
        <v>16554.0</v>
      </c>
      <c r="AP23" s="1"/>
    </row>
    <row r="24">
      <c r="A24" s="1" t="s">
        <v>119</v>
      </c>
      <c r="B24" s="1">
        <v>61057.0</v>
      </c>
      <c r="C24" s="1">
        <v>0.0</v>
      </c>
      <c r="D24" s="1">
        <v>24.0</v>
      </c>
      <c r="E24" s="1">
        <v>1.0</v>
      </c>
      <c r="F24" s="1">
        <v>2.0</v>
      </c>
      <c r="G24" s="1">
        <v>0.0</v>
      </c>
      <c r="H24" s="1" t="s">
        <v>22</v>
      </c>
      <c r="I24" s="1"/>
      <c r="J24" s="1"/>
      <c r="K24" s="1"/>
      <c r="L24" s="1">
        <v>61729.0</v>
      </c>
      <c r="M24" s="1">
        <v>44.0</v>
      </c>
      <c r="N24" s="1">
        <v>32.0</v>
      </c>
      <c r="O24" s="1">
        <v>1.0</v>
      </c>
      <c r="P24" s="1">
        <v>61.0</v>
      </c>
      <c r="Q24" s="1">
        <v>9.0</v>
      </c>
      <c r="R24" s="1" t="s">
        <v>21</v>
      </c>
      <c r="S24" s="1"/>
      <c r="T24" s="1"/>
      <c r="U24" s="1"/>
      <c r="V24" s="1" t="s">
        <v>127</v>
      </c>
      <c r="W24" s="1"/>
      <c r="AD24" s="1"/>
      <c r="AG24" s="1">
        <v>34410.0</v>
      </c>
      <c r="AH24" s="1">
        <v>0.0</v>
      </c>
      <c r="AI24" s="1">
        <v>121.0</v>
      </c>
      <c r="AJ24" s="1">
        <v>1.0</v>
      </c>
      <c r="AK24" s="1">
        <v>102.0</v>
      </c>
      <c r="AL24" s="1">
        <v>0.0</v>
      </c>
      <c r="AM24" s="1" t="s">
        <v>22</v>
      </c>
    </row>
    <row r="25">
      <c r="A25" s="1" t="s">
        <v>120</v>
      </c>
      <c r="B25" s="1">
        <v>50672.0</v>
      </c>
      <c r="C25" s="1">
        <v>14.0</v>
      </c>
      <c r="D25" s="1">
        <v>124.0</v>
      </c>
      <c r="E25" s="1">
        <v>8.0</v>
      </c>
      <c r="F25" s="1">
        <v>151.0</v>
      </c>
      <c r="G25" s="1">
        <v>2.0</v>
      </c>
      <c r="H25" s="1" t="s">
        <v>22</v>
      </c>
      <c r="I25" s="1">
        <v>78.0</v>
      </c>
      <c r="J25" s="1">
        <v>204131.0</v>
      </c>
      <c r="K25" s="1">
        <v>16.0</v>
      </c>
      <c r="L25" s="1">
        <v>51698.0</v>
      </c>
      <c r="M25" s="1">
        <v>0.0</v>
      </c>
      <c r="N25" s="1">
        <v>124.0</v>
      </c>
      <c r="O25" s="1">
        <v>1.0</v>
      </c>
      <c r="P25" s="1">
        <v>102.0</v>
      </c>
      <c r="Q25" s="1">
        <v>0.0</v>
      </c>
      <c r="R25" s="1" t="s">
        <v>22</v>
      </c>
      <c r="S25" s="1"/>
      <c r="T25" s="1"/>
      <c r="U25" s="1"/>
      <c r="V25" s="1" t="s">
        <v>128</v>
      </c>
      <c r="W25" s="1">
        <v>35567.0</v>
      </c>
      <c r="X25" s="1">
        <v>0.0</v>
      </c>
      <c r="Y25" s="1">
        <v>64.0</v>
      </c>
      <c r="Z25" s="1">
        <v>83.0</v>
      </c>
      <c r="AA25" s="1">
        <v>123.0</v>
      </c>
      <c r="AB25" s="1">
        <v>0.0</v>
      </c>
      <c r="AC25" s="1" t="s">
        <v>22</v>
      </c>
      <c r="AG25" s="1">
        <v>50552.0</v>
      </c>
      <c r="AH25" s="1">
        <v>0.0</v>
      </c>
      <c r="AI25" s="1">
        <v>24.0</v>
      </c>
      <c r="AJ25" s="1">
        <v>1.0</v>
      </c>
      <c r="AK25" s="1">
        <v>1.0</v>
      </c>
      <c r="AL25" s="1">
        <v>0.0</v>
      </c>
      <c r="AM25" s="1" t="s">
        <v>21</v>
      </c>
      <c r="AN25" s="1" t="s">
        <v>77</v>
      </c>
      <c r="AO25" s="1">
        <v>5059.0</v>
      </c>
      <c r="AP25" s="1"/>
    </row>
    <row r="26">
      <c r="A26" s="1" t="s">
        <v>121</v>
      </c>
      <c r="B26" s="1">
        <v>63213.0</v>
      </c>
      <c r="C26" s="1">
        <v>0.0</v>
      </c>
      <c r="D26" s="1">
        <v>124.0</v>
      </c>
      <c r="E26" s="1">
        <v>1.0</v>
      </c>
      <c r="F26" s="1">
        <v>102.0</v>
      </c>
      <c r="G26" s="1">
        <v>0.0</v>
      </c>
      <c r="H26" s="1" t="s">
        <v>22</v>
      </c>
      <c r="I26" s="1"/>
      <c r="J26" s="1"/>
      <c r="K26" s="1"/>
      <c r="L26" s="1">
        <v>59276.0</v>
      </c>
      <c r="M26" s="1">
        <v>238.0</v>
      </c>
      <c r="N26" s="1">
        <v>100.0</v>
      </c>
      <c r="O26" s="1">
        <v>1.0</v>
      </c>
      <c r="P26" s="1">
        <v>325.0</v>
      </c>
      <c r="Q26" s="1">
        <v>0.0</v>
      </c>
      <c r="R26" s="1" t="s">
        <v>22</v>
      </c>
      <c r="S26" s="1"/>
      <c r="T26" s="1"/>
      <c r="U26" s="1"/>
      <c r="V26" s="1" t="s">
        <v>129</v>
      </c>
      <c r="W26" s="1">
        <v>42920.0</v>
      </c>
      <c r="X26" s="1">
        <v>0.0</v>
      </c>
      <c r="Y26" s="1">
        <v>25.0</v>
      </c>
      <c r="Z26" s="1">
        <v>1.0</v>
      </c>
      <c r="AA26" s="1">
        <v>4.0</v>
      </c>
      <c r="AB26" s="1">
        <v>0.0</v>
      </c>
      <c r="AC26" s="1" t="s">
        <v>22</v>
      </c>
      <c r="AD26" s="1"/>
      <c r="AG26" s="1">
        <v>44613.0</v>
      </c>
      <c r="AH26" s="1">
        <v>183.0</v>
      </c>
      <c r="AI26" s="1">
        <v>46.0</v>
      </c>
      <c r="AJ26" s="1">
        <v>13.0</v>
      </c>
      <c r="AK26" s="1">
        <v>229.0</v>
      </c>
      <c r="AL26" s="1">
        <v>0.0</v>
      </c>
      <c r="AM26" s="1" t="s">
        <v>22</v>
      </c>
    </row>
    <row r="27">
      <c r="A27" s="1" t="s">
        <v>122</v>
      </c>
      <c r="B27" s="1">
        <v>59891.0</v>
      </c>
      <c r="C27" s="1">
        <v>48.0</v>
      </c>
      <c r="D27" s="1">
        <v>77.0</v>
      </c>
      <c r="E27" s="1">
        <v>1.0</v>
      </c>
      <c r="F27" s="1">
        <v>105.0</v>
      </c>
      <c r="G27" s="1">
        <v>7.0</v>
      </c>
      <c r="H27" s="1" t="s">
        <v>22</v>
      </c>
      <c r="I27" s="1"/>
      <c r="J27" s="1"/>
      <c r="K27" s="1"/>
      <c r="L27" s="1">
        <v>56577.0</v>
      </c>
      <c r="M27" s="1">
        <v>47.0</v>
      </c>
      <c r="N27" s="1">
        <v>78.0</v>
      </c>
      <c r="O27" s="1">
        <v>1.0</v>
      </c>
      <c r="P27" s="1">
        <v>109.0</v>
      </c>
      <c r="Q27" s="1">
        <v>0.0</v>
      </c>
      <c r="R27" s="1" t="s">
        <v>22</v>
      </c>
      <c r="S27" s="1"/>
      <c r="T27" s="1"/>
      <c r="U27" s="1"/>
      <c r="V27" s="1" t="s">
        <v>130</v>
      </c>
      <c r="W27" s="1">
        <v>38603.0</v>
      </c>
      <c r="X27" s="1">
        <v>0.0</v>
      </c>
      <c r="Y27" s="1">
        <v>1.0</v>
      </c>
      <c r="Z27" s="1">
        <v>0.0</v>
      </c>
      <c r="AA27" s="1">
        <v>3.0</v>
      </c>
      <c r="AB27" s="1">
        <v>0.0</v>
      </c>
      <c r="AC27" s="1" t="s">
        <v>22</v>
      </c>
      <c r="AD27" s="1"/>
      <c r="AG27" s="1">
        <v>46000.0</v>
      </c>
      <c r="AH27" s="1">
        <v>0.0</v>
      </c>
      <c r="AI27" s="1">
        <v>25.0</v>
      </c>
      <c r="AJ27" s="1">
        <v>1.0</v>
      </c>
      <c r="AK27" s="1">
        <v>4.0</v>
      </c>
      <c r="AL27" s="1">
        <v>0.0</v>
      </c>
      <c r="AM27" s="1" t="s">
        <v>22</v>
      </c>
    </row>
    <row r="28">
      <c r="A28" s="1" t="s">
        <v>123</v>
      </c>
      <c r="B28" s="1">
        <v>67545.0</v>
      </c>
      <c r="C28" s="1">
        <v>0.0</v>
      </c>
      <c r="D28" s="1">
        <v>26.0</v>
      </c>
      <c r="E28" s="1">
        <v>1.0</v>
      </c>
      <c r="F28" s="1">
        <v>5.0</v>
      </c>
      <c r="G28" s="1">
        <v>0.0</v>
      </c>
      <c r="H28" s="1" t="s">
        <v>22</v>
      </c>
      <c r="I28" s="1"/>
      <c r="J28" s="1"/>
      <c r="K28" s="1"/>
      <c r="L28" s="1">
        <v>56577.0</v>
      </c>
      <c r="M28" s="1">
        <v>48.0</v>
      </c>
      <c r="N28" s="1">
        <v>77.0</v>
      </c>
      <c r="O28" s="1">
        <v>64.0</v>
      </c>
      <c r="P28" s="1">
        <v>168.0</v>
      </c>
      <c r="Q28" s="1">
        <v>0.0</v>
      </c>
      <c r="R28" s="1" t="s">
        <v>22</v>
      </c>
      <c r="S28" s="1"/>
      <c r="T28" s="1"/>
      <c r="U28" s="1"/>
      <c r="V28" s="1" t="s">
        <v>131</v>
      </c>
      <c r="W28" s="1">
        <v>25926.0</v>
      </c>
      <c r="X28" s="1">
        <v>1.0</v>
      </c>
      <c r="Y28" s="1">
        <v>30.0</v>
      </c>
      <c r="Z28" s="1">
        <v>1.0</v>
      </c>
      <c r="AA28" s="1">
        <v>8.0</v>
      </c>
      <c r="AB28" s="1">
        <v>5.0</v>
      </c>
      <c r="AC28" s="1" t="s">
        <v>22</v>
      </c>
      <c r="AD28" s="1">
        <v>807.0</v>
      </c>
      <c r="AE28" s="1">
        <v>159875.0</v>
      </c>
      <c r="AF28" s="1">
        <v>8.0</v>
      </c>
      <c r="AG28" s="1"/>
    </row>
    <row r="29">
      <c r="A29" s="1" t="s">
        <v>124</v>
      </c>
      <c r="B29" s="1">
        <v>62925.0</v>
      </c>
      <c r="C29" s="1">
        <v>305.0</v>
      </c>
      <c r="D29" s="1">
        <v>88.0</v>
      </c>
      <c r="E29" s="1">
        <v>1.0</v>
      </c>
      <c r="F29" s="1">
        <v>371.0</v>
      </c>
      <c r="G29" s="1">
        <v>61.0</v>
      </c>
      <c r="H29" s="1" t="s">
        <v>22</v>
      </c>
      <c r="I29" s="1"/>
      <c r="J29" s="1"/>
      <c r="K29" s="1"/>
      <c r="L29" s="1">
        <v>40829.0</v>
      </c>
      <c r="M29" s="1">
        <v>48.0</v>
      </c>
      <c r="N29" s="1">
        <v>77.0</v>
      </c>
      <c r="O29" s="1">
        <v>64.0</v>
      </c>
      <c r="P29" s="1">
        <v>168.0</v>
      </c>
      <c r="Q29" s="1">
        <v>0.0</v>
      </c>
      <c r="R29" s="1" t="s">
        <v>22</v>
      </c>
      <c r="S29" s="1"/>
      <c r="T29" s="1"/>
      <c r="U29" s="1"/>
      <c r="V29" s="1" t="s">
        <v>132</v>
      </c>
      <c r="W29" s="1">
        <v>12523.0</v>
      </c>
      <c r="X29" s="1">
        <v>0.0</v>
      </c>
      <c r="Y29" s="1">
        <v>25.0</v>
      </c>
      <c r="Z29" s="1">
        <v>1.0</v>
      </c>
      <c r="AA29" s="1">
        <v>2.0</v>
      </c>
      <c r="AB29" s="1">
        <v>0.0</v>
      </c>
      <c r="AC29" s="1" t="s">
        <v>22</v>
      </c>
      <c r="AD29" s="1">
        <v>511.0</v>
      </c>
      <c r="AE29" s="1">
        <v>69748.0</v>
      </c>
      <c r="AF29" s="1">
        <v>6.0</v>
      </c>
      <c r="AG29" s="1"/>
    </row>
    <row r="30">
      <c r="A30" s="1" t="s">
        <v>125</v>
      </c>
      <c r="B30" s="1">
        <v>62220.0</v>
      </c>
      <c r="C30" s="1">
        <v>48.0</v>
      </c>
      <c r="D30" s="1">
        <v>81.0</v>
      </c>
      <c r="E30" s="1">
        <v>1.0</v>
      </c>
      <c r="F30" s="1">
        <v>110.0</v>
      </c>
      <c r="G30" s="1">
        <v>5.0</v>
      </c>
      <c r="H30" s="1" t="s">
        <v>22</v>
      </c>
      <c r="I30" s="1"/>
      <c r="J30" s="1"/>
      <c r="K30" s="1"/>
      <c r="L30" s="1">
        <v>54994.0</v>
      </c>
      <c r="M30" s="1">
        <v>48.0</v>
      </c>
      <c r="N30" s="1">
        <v>78.0</v>
      </c>
      <c r="O30" s="1">
        <v>1.0</v>
      </c>
      <c r="P30" s="1">
        <v>104.0</v>
      </c>
      <c r="Q30" s="1">
        <v>1.0</v>
      </c>
      <c r="R30" s="1" t="s">
        <v>22</v>
      </c>
      <c r="S30" s="1"/>
      <c r="T30" s="1"/>
      <c r="U30" s="1"/>
      <c r="AD30" s="1"/>
      <c r="AG30" s="1"/>
    </row>
    <row r="31">
      <c r="A31" s="1" t="s">
        <v>126</v>
      </c>
      <c r="B31" s="1">
        <v>40812.0</v>
      </c>
      <c r="C31" s="1">
        <v>36.0</v>
      </c>
      <c r="D31" s="1">
        <v>171.0</v>
      </c>
      <c r="E31" s="1">
        <v>2.0</v>
      </c>
      <c r="F31" s="1">
        <v>263.0</v>
      </c>
      <c r="G31" s="1">
        <v>0.0</v>
      </c>
      <c r="H31" s="1" t="s">
        <v>22</v>
      </c>
      <c r="I31" s="1">
        <v>46.0</v>
      </c>
      <c r="J31" s="1">
        <v>113149.0</v>
      </c>
      <c r="K31" s="1">
        <v>11.0</v>
      </c>
      <c r="L31" s="1">
        <v>49687.0</v>
      </c>
      <c r="M31" s="1">
        <v>49.0</v>
      </c>
      <c r="N31" s="1">
        <v>77.0</v>
      </c>
      <c r="O31" s="1">
        <v>1.0</v>
      </c>
      <c r="P31" s="1">
        <v>104.0</v>
      </c>
      <c r="Q31" s="1">
        <v>0.0</v>
      </c>
      <c r="R31" s="1" t="s">
        <v>22</v>
      </c>
      <c r="S31" s="1"/>
      <c r="T31" s="1"/>
      <c r="U31" s="1"/>
    </row>
    <row r="32">
      <c r="A32" s="1" t="s">
        <v>127</v>
      </c>
      <c r="B32" s="1">
        <v>55379.0</v>
      </c>
      <c r="C32" s="1">
        <v>48.0</v>
      </c>
      <c r="D32" s="1">
        <v>215.0</v>
      </c>
      <c r="E32" s="1">
        <v>9.0</v>
      </c>
      <c r="F32" s="1">
        <v>251.0</v>
      </c>
      <c r="G32" s="1">
        <v>4.0</v>
      </c>
      <c r="H32" s="1" t="s">
        <v>22</v>
      </c>
      <c r="I32" s="1"/>
      <c r="J32" s="1"/>
      <c r="K32" s="1"/>
      <c r="L32" s="1">
        <v>52932.0</v>
      </c>
      <c r="M32" s="1">
        <v>48.0</v>
      </c>
      <c r="N32" s="1">
        <v>76.0</v>
      </c>
      <c r="O32" s="1">
        <v>1.0</v>
      </c>
      <c r="P32" s="1">
        <v>106.0</v>
      </c>
      <c r="Q32" s="1">
        <v>1.0</v>
      </c>
      <c r="R32" s="1" t="s">
        <v>22</v>
      </c>
      <c r="S32" s="1"/>
      <c r="T32" s="1"/>
      <c r="U32" s="1"/>
    </row>
    <row r="33">
      <c r="A33" s="1" t="s">
        <v>128</v>
      </c>
      <c r="B33" s="1">
        <v>54201.0</v>
      </c>
      <c r="C33" s="1">
        <v>48.0</v>
      </c>
      <c r="D33" s="1">
        <v>76.0</v>
      </c>
      <c r="E33" s="1">
        <v>1.0</v>
      </c>
      <c r="F33" s="1">
        <v>102.0</v>
      </c>
      <c r="G33" s="1">
        <v>0.0</v>
      </c>
      <c r="H33" s="1" t="s">
        <v>22</v>
      </c>
      <c r="I33" s="1"/>
      <c r="J33" s="1"/>
      <c r="K33" s="1"/>
      <c r="L33" s="1">
        <v>53934.0</v>
      </c>
      <c r="M33" s="1">
        <v>41.0</v>
      </c>
      <c r="N33" s="1">
        <v>114.0</v>
      </c>
      <c r="O33" s="1">
        <v>5.0</v>
      </c>
      <c r="P33" s="1">
        <v>137.0</v>
      </c>
      <c r="Q33" s="1">
        <v>6.0</v>
      </c>
      <c r="R33" s="1" t="s">
        <v>21</v>
      </c>
      <c r="S33" s="1"/>
      <c r="T33" s="1"/>
      <c r="U33" s="1"/>
      <c r="V33" s="14" t="s">
        <v>133</v>
      </c>
      <c r="W33" s="15" t="s">
        <v>134</v>
      </c>
      <c r="Y33" s="13" t="s">
        <v>135</v>
      </c>
    </row>
    <row r="34">
      <c r="A34" s="1" t="s">
        <v>129</v>
      </c>
      <c r="B34" s="1">
        <v>49910.0</v>
      </c>
      <c r="C34" s="1">
        <v>149.0</v>
      </c>
      <c r="D34" s="1">
        <v>36.0</v>
      </c>
      <c r="E34" s="1">
        <v>1.0</v>
      </c>
      <c r="F34" s="1">
        <v>163.0</v>
      </c>
      <c r="G34" s="1">
        <v>1.0</v>
      </c>
      <c r="H34" s="1" t="s">
        <v>22</v>
      </c>
      <c r="I34" s="1"/>
      <c r="J34" s="1"/>
      <c r="K34" s="1"/>
      <c r="L34" s="1">
        <v>49324.0</v>
      </c>
      <c r="M34" s="1">
        <v>48.0</v>
      </c>
      <c r="N34" s="1">
        <v>76.0</v>
      </c>
      <c r="O34" s="1">
        <v>1.0</v>
      </c>
      <c r="P34" s="1">
        <v>102.0</v>
      </c>
      <c r="Q34" s="1">
        <v>0.0</v>
      </c>
      <c r="R34" s="1" t="s">
        <v>22</v>
      </c>
      <c r="S34" s="1"/>
      <c r="T34" s="1"/>
      <c r="U34" s="1"/>
      <c r="V34" s="1" t="s">
        <v>136</v>
      </c>
      <c r="W34" s="1" t="s">
        <v>137</v>
      </c>
      <c r="X34" s="1" t="s">
        <v>138</v>
      </c>
      <c r="Y34" s="1" t="s">
        <v>137</v>
      </c>
      <c r="Z34" s="1" t="s">
        <v>138</v>
      </c>
    </row>
    <row r="35">
      <c r="A35" s="1" t="s">
        <v>130</v>
      </c>
      <c r="B35" s="1">
        <v>59373.0</v>
      </c>
      <c r="C35" s="1">
        <v>0.0</v>
      </c>
      <c r="D35" s="1">
        <v>27.0</v>
      </c>
      <c r="E35" s="1">
        <v>4.0</v>
      </c>
      <c r="F35" s="1">
        <v>15.0</v>
      </c>
      <c r="G35" s="1">
        <v>0.0</v>
      </c>
      <c r="H35" s="1" t="s">
        <v>21</v>
      </c>
      <c r="I35" s="1"/>
      <c r="J35" s="1"/>
      <c r="K35" s="1"/>
      <c r="L35" s="1">
        <v>52542.0</v>
      </c>
      <c r="M35" s="1">
        <v>0.0</v>
      </c>
      <c r="N35" s="1">
        <v>24.0</v>
      </c>
      <c r="O35" s="1">
        <v>2.0</v>
      </c>
      <c r="P35" s="1">
        <v>4.0</v>
      </c>
      <c r="Q35" s="1">
        <v>0.0</v>
      </c>
      <c r="R35" s="1" t="s">
        <v>22</v>
      </c>
      <c r="S35" s="1"/>
      <c r="T35" s="1"/>
      <c r="U35" s="1"/>
      <c r="V35" s="1" t="s">
        <v>20</v>
      </c>
      <c r="W35" s="2">
        <v>352638.0</v>
      </c>
      <c r="X35" s="1">
        <v>12.0</v>
      </c>
      <c r="Y35" s="2">
        <v>1.0592244E7</v>
      </c>
      <c r="Z35" s="1">
        <v>11.0</v>
      </c>
    </row>
    <row r="36">
      <c r="A36" s="1" t="s">
        <v>131</v>
      </c>
      <c r="B36" s="1">
        <v>54336.0</v>
      </c>
      <c r="C36" s="1">
        <v>175.0</v>
      </c>
      <c r="D36" s="1">
        <v>41.0</v>
      </c>
      <c r="E36" s="1">
        <v>1.0</v>
      </c>
      <c r="F36" s="1">
        <v>194.0</v>
      </c>
      <c r="G36" s="1">
        <v>2.0</v>
      </c>
      <c r="H36" s="1" t="s">
        <v>22</v>
      </c>
      <c r="I36" s="1"/>
      <c r="J36" s="1"/>
      <c r="K36" s="1"/>
      <c r="L36" s="1">
        <v>44011.0</v>
      </c>
      <c r="M36" s="1">
        <v>8.0</v>
      </c>
      <c r="N36" s="1">
        <v>34.0</v>
      </c>
      <c r="O36" s="1">
        <v>3.0</v>
      </c>
      <c r="P36" s="1">
        <v>35.0</v>
      </c>
      <c r="Q36" s="1">
        <v>3.0</v>
      </c>
      <c r="R36" s="1" t="s">
        <v>21</v>
      </c>
      <c r="S36" s="9">
        <v>1179.0</v>
      </c>
      <c r="T36" s="1">
        <v>114942.0</v>
      </c>
      <c r="U36" s="1">
        <v>12.0</v>
      </c>
      <c r="V36" s="1" t="s">
        <v>24</v>
      </c>
      <c r="W36" s="2">
        <v>351515.0</v>
      </c>
      <c r="X36" s="1">
        <v>13.0</v>
      </c>
      <c r="Y36" s="2">
        <v>1.1045369E7</v>
      </c>
      <c r="Z36" s="1">
        <v>12.0</v>
      </c>
    </row>
    <row r="37">
      <c r="A37" s="1" t="s">
        <v>139</v>
      </c>
      <c r="B37" s="1">
        <v>52354.0</v>
      </c>
      <c r="C37" s="1">
        <v>149.0</v>
      </c>
      <c r="D37" s="1">
        <v>73.0</v>
      </c>
      <c r="E37" s="1">
        <v>1.0</v>
      </c>
      <c r="F37" s="1">
        <v>210.0</v>
      </c>
      <c r="G37" s="1">
        <v>10.0</v>
      </c>
      <c r="H37" s="1" t="s">
        <v>22</v>
      </c>
      <c r="I37" s="1"/>
      <c r="J37" s="1"/>
      <c r="K37" s="1"/>
      <c r="L37" s="1">
        <v>50532.0</v>
      </c>
      <c r="M37" s="1">
        <v>3.0</v>
      </c>
      <c r="N37" s="1">
        <v>27.0</v>
      </c>
      <c r="O37" s="1">
        <v>1.0</v>
      </c>
      <c r="P37" s="1">
        <v>10.0</v>
      </c>
      <c r="Q37" s="1">
        <v>0.0</v>
      </c>
      <c r="R37" s="1" t="s">
        <v>22</v>
      </c>
      <c r="S37" s="1"/>
      <c r="T37" s="1"/>
      <c r="U37" s="1"/>
      <c r="V37" s="1" t="s">
        <v>25</v>
      </c>
      <c r="W37" s="2">
        <v>238497.0</v>
      </c>
      <c r="X37" s="1">
        <v>15.0</v>
      </c>
      <c r="Y37" s="2">
        <v>1.2164386E7</v>
      </c>
      <c r="Z37" s="1">
        <v>13.0</v>
      </c>
    </row>
    <row r="38">
      <c r="A38" s="1" t="s">
        <v>140</v>
      </c>
      <c r="B38" s="1">
        <v>35463.0</v>
      </c>
      <c r="C38" s="1">
        <v>191.0</v>
      </c>
      <c r="D38" s="1">
        <v>57.0</v>
      </c>
      <c r="E38" s="1">
        <v>1.0</v>
      </c>
      <c r="F38" s="1">
        <v>205.0</v>
      </c>
      <c r="G38" s="1">
        <v>0.0</v>
      </c>
      <c r="H38" s="1" t="s">
        <v>22</v>
      </c>
      <c r="I38" s="1"/>
      <c r="J38" s="1"/>
      <c r="K38" s="1"/>
      <c r="L38" s="1">
        <v>54682.0</v>
      </c>
      <c r="M38" s="1">
        <v>169.0</v>
      </c>
      <c r="N38" s="1">
        <v>81.0</v>
      </c>
      <c r="O38" s="1">
        <v>1.0</v>
      </c>
      <c r="P38" s="1">
        <v>229.0</v>
      </c>
      <c r="Q38" s="1">
        <v>7.0</v>
      </c>
      <c r="R38" s="1" t="s">
        <v>21</v>
      </c>
      <c r="S38" s="1"/>
      <c r="T38" s="1"/>
      <c r="U38" s="1"/>
      <c r="V38" s="1" t="s">
        <v>26</v>
      </c>
      <c r="W38" s="2">
        <v>264002.0</v>
      </c>
      <c r="X38" s="1">
        <v>8.0</v>
      </c>
      <c r="Y38" s="2">
        <v>1.6466623E7</v>
      </c>
      <c r="Z38" s="1">
        <v>15.0</v>
      </c>
    </row>
    <row r="39">
      <c r="A39" s="1" t="s">
        <v>141</v>
      </c>
      <c r="B39" s="1">
        <v>56544.0</v>
      </c>
      <c r="C39" s="1">
        <v>166.0</v>
      </c>
      <c r="D39" s="1">
        <v>32.0</v>
      </c>
      <c r="E39" s="1">
        <v>1.0</v>
      </c>
      <c r="F39" s="1">
        <v>176.0</v>
      </c>
      <c r="G39" s="1">
        <v>8.0</v>
      </c>
      <c r="H39" s="1" t="s">
        <v>22</v>
      </c>
      <c r="I39" s="1"/>
      <c r="J39" s="1"/>
      <c r="K39" s="1"/>
      <c r="L39" s="1">
        <v>48222.0</v>
      </c>
      <c r="M39" s="1">
        <v>367.0</v>
      </c>
      <c r="N39" s="1">
        <v>130.0</v>
      </c>
      <c r="O39" s="1">
        <v>1.0</v>
      </c>
      <c r="P39" s="1">
        <v>452.0</v>
      </c>
      <c r="Q39" s="1">
        <v>3.0</v>
      </c>
      <c r="R39" s="1" t="s">
        <v>22</v>
      </c>
      <c r="S39" s="1"/>
      <c r="T39" s="1"/>
      <c r="U39" s="1"/>
      <c r="V39" s="1" t="s">
        <v>27</v>
      </c>
      <c r="W39" s="2">
        <v>176463.0</v>
      </c>
      <c r="X39" s="1">
        <v>13.0</v>
      </c>
      <c r="Y39" s="2">
        <v>1.3162904E7</v>
      </c>
      <c r="Z39" s="1">
        <v>13.0</v>
      </c>
    </row>
    <row r="40">
      <c r="A40" s="1" t="s">
        <v>142</v>
      </c>
      <c r="B40" s="1">
        <v>30500.0</v>
      </c>
      <c r="C40" s="1">
        <v>45.0</v>
      </c>
      <c r="D40" s="1">
        <v>81.0</v>
      </c>
      <c r="E40" s="1">
        <v>2.0</v>
      </c>
      <c r="F40" s="1">
        <v>111.0</v>
      </c>
      <c r="G40" s="1">
        <v>3.0</v>
      </c>
      <c r="H40" s="1" t="s">
        <v>22</v>
      </c>
      <c r="I40" s="1"/>
      <c r="J40" s="1"/>
      <c r="K40" s="1"/>
      <c r="L40" s="1">
        <v>29606.0</v>
      </c>
      <c r="M40" s="1">
        <v>148.0</v>
      </c>
      <c r="N40" s="1">
        <v>36.0</v>
      </c>
      <c r="O40" s="1">
        <v>1.0</v>
      </c>
      <c r="P40" s="1">
        <v>161.0</v>
      </c>
      <c r="Q40" s="1">
        <v>2.0</v>
      </c>
      <c r="R40" s="1" t="s">
        <v>21</v>
      </c>
      <c r="S40" s="1"/>
      <c r="T40" s="1"/>
      <c r="U40" s="1"/>
      <c r="V40" s="1" t="s">
        <v>28</v>
      </c>
      <c r="W40" s="2">
        <v>267281.0</v>
      </c>
      <c r="X40" s="1">
        <v>16.0</v>
      </c>
      <c r="Y40" s="2">
        <v>8875083.0</v>
      </c>
      <c r="Z40" s="1">
        <v>9.0</v>
      </c>
    </row>
    <row r="41">
      <c r="A41" s="1" t="s">
        <v>143</v>
      </c>
      <c r="B41" s="1">
        <v>41077.0</v>
      </c>
      <c r="C41" s="1">
        <v>0.0</v>
      </c>
      <c r="D41" s="1">
        <v>24.0</v>
      </c>
      <c r="E41" s="1">
        <v>2.0</v>
      </c>
      <c r="F41" s="1">
        <v>4.0</v>
      </c>
      <c r="G41" s="1">
        <v>0.0</v>
      </c>
      <c r="H41" s="1" t="s">
        <v>22</v>
      </c>
      <c r="I41" s="1"/>
      <c r="J41" s="1"/>
      <c r="K41" s="1"/>
      <c r="L41" s="1">
        <v>38369.0</v>
      </c>
      <c r="M41" s="1">
        <v>0.0</v>
      </c>
      <c r="N41" s="1">
        <v>26.0</v>
      </c>
      <c r="O41" s="1">
        <v>2.0</v>
      </c>
      <c r="P41" s="1">
        <v>40.0</v>
      </c>
      <c r="Q41" s="1">
        <v>3.0</v>
      </c>
      <c r="R41" s="1" t="s">
        <v>21</v>
      </c>
      <c r="S41" s="1"/>
      <c r="T41" s="1"/>
      <c r="U41" s="1"/>
      <c r="V41" s="1" t="s">
        <v>29</v>
      </c>
      <c r="W41" s="2">
        <v>352088.0</v>
      </c>
      <c r="X41" s="1">
        <v>14.0</v>
      </c>
      <c r="Y41" s="2">
        <v>1.0510617E7</v>
      </c>
      <c r="Z41" s="1">
        <v>10.0</v>
      </c>
    </row>
    <row r="42">
      <c r="A42" s="1" t="s">
        <v>144</v>
      </c>
      <c r="B42" s="1">
        <v>33043.0</v>
      </c>
      <c r="C42" s="1">
        <v>0.0</v>
      </c>
      <c r="D42" s="1">
        <v>25.0</v>
      </c>
      <c r="E42" s="1">
        <v>1.0</v>
      </c>
      <c r="F42" s="1">
        <v>2.0</v>
      </c>
      <c r="G42" s="1">
        <v>0.0</v>
      </c>
      <c r="H42" s="1" t="s">
        <v>21</v>
      </c>
      <c r="I42" s="1"/>
      <c r="J42" s="1"/>
      <c r="K42" s="1"/>
      <c r="L42" s="1">
        <v>32393.0</v>
      </c>
      <c r="M42" s="1">
        <v>48.0</v>
      </c>
      <c r="N42" s="1">
        <v>76.0</v>
      </c>
      <c r="O42" s="1">
        <v>1.0</v>
      </c>
      <c r="P42" s="1">
        <v>102.0</v>
      </c>
      <c r="Q42" s="1">
        <v>1.0</v>
      </c>
      <c r="R42" s="1" t="s">
        <v>22</v>
      </c>
      <c r="S42" s="1"/>
      <c r="T42" s="1"/>
      <c r="U42" s="1"/>
      <c r="V42" s="1" t="s">
        <v>30</v>
      </c>
      <c r="W42" s="2">
        <v>305469.0</v>
      </c>
      <c r="X42" s="1">
        <v>18.0</v>
      </c>
      <c r="Y42" s="2">
        <v>1.3511358E7</v>
      </c>
      <c r="Z42" s="1">
        <v>14.0</v>
      </c>
    </row>
    <row r="43">
      <c r="A43" s="1" t="s">
        <v>145</v>
      </c>
      <c r="B43" s="1">
        <v>53210.0</v>
      </c>
      <c r="C43" s="1">
        <v>2.0</v>
      </c>
      <c r="D43" s="1">
        <v>32.0</v>
      </c>
      <c r="E43" s="1">
        <v>1.0</v>
      </c>
      <c r="F43" s="1">
        <v>11.0</v>
      </c>
      <c r="G43" s="1">
        <v>0.0</v>
      </c>
      <c r="H43" s="1" t="s">
        <v>22</v>
      </c>
      <c r="I43" s="1">
        <v>1349.0</v>
      </c>
      <c r="J43" s="1">
        <v>171914.0</v>
      </c>
      <c r="K43" s="1">
        <v>18.0</v>
      </c>
      <c r="L43" s="1">
        <v>28594.0</v>
      </c>
      <c r="M43" s="1">
        <v>48.0</v>
      </c>
      <c r="N43" s="1">
        <v>77.0</v>
      </c>
      <c r="O43" s="1">
        <v>1.0</v>
      </c>
      <c r="P43" s="1">
        <v>103.0</v>
      </c>
      <c r="Q43" s="1">
        <v>1.0</v>
      </c>
      <c r="R43" s="1" t="s">
        <v>22</v>
      </c>
      <c r="S43" s="1"/>
      <c r="T43" s="1"/>
      <c r="U43" s="1"/>
      <c r="V43" s="1" t="s">
        <v>31</v>
      </c>
      <c r="W43" s="2">
        <v>246522.0</v>
      </c>
      <c r="X43" s="1">
        <v>11.0</v>
      </c>
      <c r="Y43" s="2">
        <v>1.1967589E7</v>
      </c>
      <c r="Z43" s="1">
        <v>11.0</v>
      </c>
    </row>
    <row r="44">
      <c r="A44" s="1" t="s">
        <v>146</v>
      </c>
      <c r="B44" s="1">
        <v>56219.0</v>
      </c>
      <c r="C44" s="1">
        <v>393.0</v>
      </c>
      <c r="D44" s="1">
        <v>173.0</v>
      </c>
      <c r="E44" s="1">
        <v>1.0</v>
      </c>
      <c r="F44" s="1">
        <v>544.0</v>
      </c>
      <c r="G44" s="1">
        <v>11.0</v>
      </c>
      <c r="H44" s="1" t="s">
        <v>22</v>
      </c>
      <c r="I44" s="1"/>
      <c r="J44" s="1"/>
      <c r="K44" s="1"/>
      <c r="L44" s="1">
        <v>56683.0</v>
      </c>
      <c r="M44" s="1">
        <v>3.0</v>
      </c>
      <c r="N44" s="1">
        <v>40.0</v>
      </c>
      <c r="O44" s="1">
        <v>1.0</v>
      </c>
      <c r="P44" s="1">
        <v>22.0</v>
      </c>
      <c r="Q44" s="1">
        <v>0.0</v>
      </c>
      <c r="R44" s="1" t="s">
        <v>22</v>
      </c>
      <c r="S44" s="9">
        <v>1544.0</v>
      </c>
      <c r="T44" s="1">
        <v>329231.0</v>
      </c>
      <c r="U44" s="1">
        <v>9.0</v>
      </c>
      <c r="V44" s="1" t="s">
        <v>32</v>
      </c>
      <c r="W44" s="2">
        <v>243017.0</v>
      </c>
      <c r="X44" s="1">
        <v>13.0</v>
      </c>
      <c r="Y44" s="2">
        <v>7174068.0</v>
      </c>
      <c r="Z44" s="1">
        <v>8.0</v>
      </c>
    </row>
    <row r="45">
      <c r="A45" s="1" t="s">
        <v>147</v>
      </c>
      <c r="B45" s="1">
        <v>64038.0</v>
      </c>
      <c r="C45" s="1">
        <v>54.0</v>
      </c>
      <c r="D45" s="1">
        <v>81.0</v>
      </c>
      <c r="E45" s="1">
        <v>1.0</v>
      </c>
      <c r="F45" s="1">
        <v>113.0</v>
      </c>
      <c r="G45" s="1">
        <v>10.0</v>
      </c>
      <c r="H45" s="1" t="s">
        <v>22</v>
      </c>
      <c r="I45" s="1"/>
      <c r="J45" s="1"/>
      <c r="K45" s="1"/>
      <c r="L45" s="1">
        <v>50020.0</v>
      </c>
      <c r="M45" s="1">
        <v>48.0</v>
      </c>
      <c r="N45" s="1">
        <v>81.0</v>
      </c>
      <c r="O45" s="1">
        <v>3.0</v>
      </c>
      <c r="P45" s="1">
        <v>109.0</v>
      </c>
      <c r="Q45" s="1">
        <v>5.0</v>
      </c>
      <c r="R45" s="1" t="s">
        <v>22</v>
      </c>
      <c r="S45" s="1"/>
      <c r="V45" s="1" t="s">
        <v>33</v>
      </c>
      <c r="W45" s="2">
        <v>263179.0</v>
      </c>
      <c r="X45" s="1">
        <v>14.0</v>
      </c>
      <c r="Y45" s="2">
        <v>9156486.0</v>
      </c>
      <c r="Z45" s="1">
        <v>10.0</v>
      </c>
    </row>
    <row r="46">
      <c r="A46" s="1" t="s">
        <v>148</v>
      </c>
      <c r="B46" s="1">
        <v>50545.0</v>
      </c>
      <c r="C46" s="1">
        <v>1.0</v>
      </c>
      <c r="D46" s="1">
        <v>24.0</v>
      </c>
      <c r="E46" s="1">
        <v>1.0</v>
      </c>
      <c r="F46" s="1">
        <v>2.0</v>
      </c>
      <c r="G46" s="1">
        <v>0.0</v>
      </c>
      <c r="H46" s="1" t="s">
        <v>22</v>
      </c>
      <c r="I46" s="1">
        <v>542.0</v>
      </c>
      <c r="J46" s="1">
        <v>346913.0</v>
      </c>
      <c r="K46" s="1">
        <v>15.0</v>
      </c>
      <c r="L46" s="1">
        <v>52040.0</v>
      </c>
      <c r="M46" s="1">
        <v>54.0</v>
      </c>
      <c r="N46" s="1">
        <v>81.0</v>
      </c>
      <c r="O46" s="1">
        <v>2.0</v>
      </c>
      <c r="P46" s="1">
        <v>113.0</v>
      </c>
      <c r="Q46" s="1">
        <v>12.0</v>
      </c>
      <c r="R46" s="1" t="s">
        <v>22</v>
      </c>
      <c r="S46" s="1"/>
      <c r="T46" s="1"/>
      <c r="U46" s="1"/>
      <c r="V46" s="1" t="s">
        <v>34</v>
      </c>
      <c r="W46" s="2">
        <v>300281.0</v>
      </c>
      <c r="X46" s="1">
        <v>8.0</v>
      </c>
      <c r="Y46" s="2">
        <v>1.1491416E7</v>
      </c>
      <c r="Z46" s="1">
        <v>13.0</v>
      </c>
    </row>
    <row r="47">
      <c r="A47" s="1" t="s">
        <v>132</v>
      </c>
      <c r="B47" s="1">
        <v>42136.0</v>
      </c>
      <c r="C47" s="1">
        <v>25.0</v>
      </c>
      <c r="D47" s="1">
        <v>86.0</v>
      </c>
      <c r="E47" s="1">
        <v>125.0</v>
      </c>
      <c r="F47" s="1">
        <v>246.0</v>
      </c>
      <c r="G47" s="1">
        <v>0.0</v>
      </c>
      <c r="H47" s="1" t="s">
        <v>22</v>
      </c>
      <c r="I47" s="1">
        <v>902.0</v>
      </c>
      <c r="J47" s="1">
        <v>404674.0</v>
      </c>
      <c r="K47" s="1">
        <v>14.0</v>
      </c>
      <c r="L47" s="1">
        <v>42274.0</v>
      </c>
      <c r="M47" s="1">
        <v>0.0</v>
      </c>
      <c r="N47" s="1">
        <v>24.0</v>
      </c>
      <c r="O47" s="1">
        <v>2.0</v>
      </c>
      <c r="P47" s="1">
        <v>4.0</v>
      </c>
      <c r="Q47" s="1">
        <v>0.0</v>
      </c>
      <c r="R47" s="1" t="s">
        <v>22</v>
      </c>
      <c r="S47" s="1"/>
      <c r="T47" s="1"/>
      <c r="U47" s="1"/>
      <c r="V47" s="1" t="s">
        <v>35</v>
      </c>
      <c r="W47" s="2">
        <v>297456.0</v>
      </c>
      <c r="X47" s="1">
        <v>13.0</v>
      </c>
      <c r="Y47" s="2">
        <v>1.2220705E7</v>
      </c>
      <c r="Z47" s="1">
        <v>13.0</v>
      </c>
    </row>
    <row r="48">
      <c r="A48" s="1" t="s">
        <v>149</v>
      </c>
      <c r="B48" s="1">
        <v>69003.0</v>
      </c>
      <c r="C48" s="1">
        <v>5.0</v>
      </c>
      <c r="D48" s="1">
        <v>31.0</v>
      </c>
      <c r="E48" s="1">
        <v>1.0</v>
      </c>
      <c r="F48" s="1">
        <v>67.0</v>
      </c>
      <c r="G48" s="1">
        <v>2.0</v>
      </c>
      <c r="H48" s="1" t="s">
        <v>22</v>
      </c>
      <c r="I48" s="1">
        <v>956.0</v>
      </c>
      <c r="J48" s="1">
        <v>183653.0</v>
      </c>
      <c r="K48" s="1">
        <v>18.0</v>
      </c>
      <c r="L48" s="1">
        <v>50431.0</v>
      </c>
      <c r="M48" s="1">
        <v>48.0</v>
      </c>
      <c r="N48" s="1">
        <v>77.0</v>
      </c>
      <c r="O48" s="1">
        <v>13.0</v>
      </c>
      <c r="P48" s="1">
        <v>115.0</v>
      </c>
      <c r="Q48" s="1">
        <v>1.0</v>
      </c>
      <c r="R48" s="1" t="s">
        <v>22</v>
      </c>
      <c r="S48" s="9">
        <v>1235.0</v>
      </c>
      <c r="T48" s="1">
        <v>325954.0</v>
      </c>
      <c r="U48" s="1">
        <v>16.0</v>
      </c>
      <c r="V48" s="1" t="s">
        <v>36</v>
      </c>
      <c r="W48" s="2">
        <v>269941.0</v>
      </c>
      <c r="X48" s="1">
        <v>9.0</v>
      </c>
      <c r="Y48" s="2">
        <v>1.2477237E7</v>
      </c>
      <c r="Z48" s="1">
        <v>13.0</v>
      </c>
    </row>
    <row r="49">
      <c r="A49" s="1" t="s">
        <v>150</v>
      </c>
      <c r="B49" s="1">
        <v>55683.0</v>
      </c>
      <c r="C49" s="1">
        <v>1.0</v>
      </c>
      <c r="D49" s="1">
        <v>32.0</v>
      </c>
      <c r="E49" s="1">
        <v>1.0</v>
      </c>
      <c r="F49" s="1">
        <v>15.0</v>
      </c>
      <c r="G49" s="1">
        <v>1.0</v>
      </c>
      <c r="H49" s="1" t="s">
        <v>22</v>
      </c>
      <c r="I49" s="9">
        <v>783.0</v>
      </c>
      <c r="J49" s="1">
        <v>418107.0</v>
      </c>
      <c r="K49" s="1">
        <v>16.0</v>
      </c>
      <c r="L49" s="1">
        <v>51545.0</v>
      </c>
      <c r="M49" s="1">
        <v>1.0</v>
      </c>
      <c r="N49" s="1">
        <v>27.0</v>
      </c>
      <c r="O49" s="1">
        <v>1.0</v>
      </c>
      <c r="P49" s="1">
        <v>10.0</v>
      </c>
      <c r="Q49" s="1">
        <v>81.0</v>
      </c>
      <c r="R49" s="1" t="s">
        <v>22</v>
      </c>
      <c r="S49" s="9">
        <v>1086.0</v>
      </c>
      <c r="T49" s="1">
        <v>158593.0</v>
      </c>
      <c r="U49" s="1">
        <v>11.0</v>
      </c>
      <c r="V49" s="1" t="s">
        <v>37</v>
      </c>
      <c r="W49" s="2">
        <v>313811.0</v>
      </c>
      <c r="X49" s="1">
        <v>14.0</v>
      </c>
      <c r="Y49" s="2">
        <v>1.0933684E7</v>
      </c>
      <c r="Z49" s="1">
        <v>12.0</v>
      </c>
    </row>
    <row r="50">
      <c r="A50" s="1" t="s">
        <v>151</v>
      </c>
      <c r="B50" s="1">
        <v>33423.0</v>
      </c>
      <c r="C50" s="1">
        <v>0.0</v>
      </c>
      <c r="D50" s="1">
        <v>25.0</v>
      </c>
      <c r="E50" s="1">
        <v>1.0</v>
      </c>
      <c r="F50" s="1">
        <v>2.0</v>
      </c>
      <c r="G50" s="1">
        <v>0.0</v>
      </c>
      <c r="H50" s="1" t="s">
        <v>21</v>
      </c>
      <c r="I50" s="1"/>
      <c r="J50" s="1"/>
      <c r="K50" s="1"/>
      <c r="L50" s="1">
        <v>32842.0</v>
      </c>
      <c r="M50" s="1">
        <v>105.0</v>
      </c>
      <c r="N50" s="1">
        <v>116.0</v>
      </c>
      <c r="O50" s="1">
        <v>4.0</v>
      </c>
      <c r="P50" s="1">
        <v>207.0</v>
      </c>
      <c r="Q50" s="1">
        <v>8.0</v>
      </c>
      <c r="R50" s="1" t="s">
        <v>22</v>
      </c>
      <c r="S50" s="1"/>
      <c r="T50" s="1"/>
      <c r="U50" s="1"/>
      <c r="V50" s="1" t="s">
        <v>38</v>
      </c>
      <c r="W50" s="2">
        <v>184941.0</v>
      </c>
      <c r="X50" s="1">
        <v>11.0</v>
      </c>
      <c r="Y50" s="2">
        <v>1.223321E7</v>
      </c>
      <c r="Z50" s="1">
        <v>15.0</v>
      </c>
    </row>
    <row r="51">
      <c r="A51" s="1" t="s">
        <v>152</v>
      </c>
      <c r="B51" s="1">
        <v>51224.0</v>
      </c>
      <c r="C51" s="1">
        <v>53.0</v>
      </c>
      <c r="D51" s="1">
        <v>78.0</v>
      </c>
      <c r="E51" s="1">
        <v>1.0</v>
      </c>
      <c r="F51" s="1">
        <v>113.0</v>
      </c>
      <c r="G51" s="1">
        <v>6.0</v>
      </c>
      <c r="H51" s="1" t="s">
        <v>22</v>
      </c>
      <c r="I51" s="1"/>
      <c r="J51" s="1"/>
      <c r="K51" s="1"/>
      <c r="L51" s="1">
        <v>51336.0</v>
      </c>
      <c r="M51" s="1">
        <v>53.0</v>
      </c>
      <c r="N51" s="1">
        <v>79.0</v>
      </c>
      <c r="O51" s="1">
        <v>1.0</v>
      </c>
      <c r="P51" s="1">
        <v>123.0</v>
      </c>
      <c r="Q51" s="1">
        <v>9.0</v>
      </c>
      <c r="R51" s="1" t="s">
        <v>22</v>
      </c>
      <c r="S51" s="1"/>
      <c r="T51" s="1"/>
      <c r="U51" s="1"/>
      <c r="V51" s="1" t="s">
        <v>39</v>
      </c>
      <c r="W51" s="2">
        <v>249619.0</v>
      </c>
      <c r="X51" s="1">
        <v>9.0</v>
      </c>
      <c r="Y51" s="2">
        <v>1.2713157E7</v>
      </c>
      <c r="Z51" s="1">
        <v>15.0</v>
      </c>
    </row>
    <row r="52">
      <c r="A52" s="1" t="s">
        <v>153</v>
      </c>
      <c r="B52" s="13" t="s">
        <v>83</v>
      </c>
      <c r="L52" s="13" t="s">
        <v>84</v>
      </c>
      <c r="V52" s="1" t="s">
        <v>40</v>
      </c>
      <c r="W52" s="2">
        <v>222480.0</v>
      </c>
      <c r="X52" s="1">
        <v>10.0</v>
      </c>
      <c r="Y52" s="2">
        <v>1.6980972E7</v>
      </c>
      <c r="Z52" s="1">
        <v>17.0</v>
      </c>
    </row>
    <row r="53">
      <c r="A53" s="1" t="s">
        <v>86</v>
      </c>
      <c r="B53" s="1" t="s">
        <v>87</v>
      </c>
      <c r="C53" s="1" t="s">
        <v>88</v>
      </c>
      <c r="D53" s="1" t="s">
        <v>89</v>
      </c>
      <c r="E53" s="1" t="s">
        <v>90</v>
      </c>
      <c r="F53" s="1" t="s">
        <v>91</v>
      </c>
      <c r="G53" s="1" t="s">
        <v>92</v>
      </c>
      <c r="H53" s="1" t="s">
        <v>3</v>
      </c>
      <c r="I53" s="1" t="s">
        <v>4</v>
      </c>
      <c r="J53" s="1" t="s">
        <v>93</v>
      </c>
      <c r="K53" s="1" t="s">
        <v>94</v>
      </c>
      <c r="L53" s="1" t="s">
        <v>95</v>
      </c>
      <c r="M53" s="1" t="s">
        <v>88</v>
      </c>
      <c r="N53" s="1" t="s">
        <v>89</v>
      </c>
      <c r="O53" s="1" t="s">
        <v>90</v>
      </c>
      <c r="P53" s="1" t="s">
        <v>91</v>
      </c>
      <c r="Q53" s="1" t="s">
        <v>92</v>
      </c>
      <c r="R53" s="1" t="s">
        <v>3</v>
      </c>
      <c r="S53" s="1" t="s">
        <v>4</v>
      </c>
      <c r="T53" s="1" t="s">
        <v>96</v>
      </c>
      <c r="U53" s="1" t="s">
        <v>94</v>
      </c>
      <c r="V53" s="1" t="s">
        <v>41</v>
      </c>
      <c r="W53" s="2">
        <v>296397.0</v>
      </c>
      <c r="X53" s="1">
        <v>13.0</v>
      </c>
      <c r="Y53" s="2">
        <v>8631886.0</v>
      </c>
      <c r="Z53" s="1">
        <v>9.0</v>
      </c>
    </row>
    <row r="54">
      <c r="A54" s="1" t="s">
        <v>97</v>
      </c>
      <c r="B54" s="1">
        <v>44132.0</v>
      </c>
      <c r="C54" s="1">
        <v>0.0</v>
      </c>
      <c r="D54" s="1">
        <v>24.0</v>
      </c>
      <c r="E54" s="1">
        <v>1.0</v>
      </c>
      <c r="F54" s="1">
        <v>1.0</v>
      </c>
      <c r="G54" s="1">
        <v>0.0</v>
      </c>
      <c r="H54" s="1" t="s">
        <v>22</v>
      </c>
      <c r="I54" s="16">
        <v>1361.0</v>
      </c>
      <c r="J54" s="1">
        <v>276238.0</v>
      </c>
      <c r="K54" s="1">
        <v>11.0</v>
      </c>
      <c r="L54" s="1">
        <v>49349.0</v>
      </c>
      <c r="M54" s="1">
        <v>0.0</v>
      </c>
      <c r="N54" s="1">
        <v>29.0</v>
      </c>
      <c r="O54" s="1">
        <v>1.0</v>
      </c>
      <c r="P54" s="1">
        <v>6.0</v>
      </c>
      <c r="Q54" s="1">
        <v>0.0</v>
      </c>
      <c r="R54" s="1" t="s">
        <v>22</v>
      </c>
      <c r="S54" s="1">
        <v>1400.0</v>
      </c>
      <c r="T54" s="1">
        <v>283818.0</v>
      </c>
      <c r="U54" s="1">
        <v>14.0</v>
      </c>
      <c r="V54" s="1" t="s">
        <v>42</v>
      </c>
      <c r="W54" s="2">
        <v>234543.0</v>
      </c>
      <c r="X54" s="1">
        <v>13.0</v>
      </c>
      <c r="Y54" s="2">
        <v>1.4692819E7</v>
      </c>
      <c r="Z54" s="1">
        <v>17.0</v>
      </c>
    </row>
    <row r="55">
      <c r="A55" s="1" t="s">
        <v>98</v>
      </c>
      <c r="B55" s="1">
        <v>46200.0</v>
      </c>
      <c r="C55" s="1">
        <v>0.0</v>
      </c>
      <c r="D55" s="1">
        <v>24.0</v>
      </c>
      <c r="E55" s="1">
        <v>1.0</v>
      </c>
      <c r="F55" s="1">
        <v>1.0</v>
      </c>
      <c r="G55" s="1">
        <v>0.0</v>
      </c>
      <c r="H55" s="1" t="s">
        <v>22</v>
      </c>
      <c r="I55" s="16">
        <v>913.0</v>
      </c>
      <c r="J55" s="1">
        <v>314169.0</v>
      </c>
      <c r="K55" s="1">
        <v>10.0</v>
      </c>
      <c r="L55" s="1">
        <v>50094.0</v>
      </c>
      <c r="M55" s="1">
        <v>0.0</v>
      </c>
      <c r="N55" s="1">
        <v>37.0</v>
      </c>
      <c r="O55" s="1">
        <v>1.0</v>
      </c>
      <c r="P55" s="1">
        <v>15.0</v>
      </c>
      <c r="Q55" s="1">
        <v>2.0</v>
      </c>
      <c r="R55" s="1" t="s">
        <v>21</v>
      </c>
      <c r="T55" s="1"/>
      <c r="U55" s="1"/>
      <c r="V55" s="1" t="s">
        <v>43</v>
      </c>
      <c r="W55" s="2">
        <v>249551.0</v>
      </c>
      <c r="X55" s="1">
        <v>13.0</v>
      </c>
      <c r="Y55" s="2">
        <v>1.451614E7</v>
      </c>
      <c r="Z55" s="1">
        <v>16.0</v>
      </c>
    </row>
    <row r="56">
      <c r="A56" s="1" t="s">
        <v>99</v>
      </c>
      <c r="B56" s="1">
        <v>49929.0</v>
      </c>
      <c r="C56" s="1">
        <v>0.0</v>
      </c>
      <c r="D56" s="1">
        <v>24.0</v>
      </c>
      <c r="E56" s="1">
        <v>1.0</v>
      </c>
      <c r="F56" s="1">
        <v>2.0</v>
      </c>
      <c r="G56" s="1">
        <v>1.0</v>
      </c>
      <c r="H56" s="1" t="s">
        <v>22</v>
      </c>
      <c r="I56" s="16">
        <v>1309.0</v>
      </c>
      <c r="J56" s="1">
        <v>186146.0</v>
      </c>
      <c r="K56" s="1">
        <v>14.0</v>
      </c>
      <c r="L56" s="1">
        <v>52946.0</v>
      </c>
      <c r="M56" s="1">
        <v>0.0</v>
      </c>
      <c r="N56" s="1">
        <v>39.0</v>
      </c>
      <c r="O56" s="1">
        <v>1.0</v>
      </c>
      <c r="P56" s="1">
        <v>17.0</v>
      </c>
      <c r="Q56" s="1">
        <v>74.0</v>
      </c>
      <c r="R56" s="1" t="s">
        <v>22</v>
      </c>
      <c r="S56" s="1">
        <v>1267.0</v>
      </c>
      <c r="T56" s="1">
        <v>159511.0</v>
      </c>
      <c r="U56" s="1">
        <v>11.0</v>
      </c>
      <c r="V56" s="1" t="s">
        <v>44</v>
      </c>
      <c r="W56" s="2">
        <v>349585.0</v>
      </c>
      <c r="X56" s="1">
        <v>12.0</v>
      </c>
      <c r="Y56" s="2">
        <v>1.1561854E7</v>
      </c>
      <c r="Z56" s="1">
        <v>12.0</v>
      </c>
    </row>
    <row r="57">
      <c r="A57" s="1" t="s">
        <v>100</v>
      </c>
      <c r="B57" s="1">
        <v>53683.0</v>
      </c>
      <c r="C57" s="1">
        <v>0.0</v>
      </c>
      <c r="D57" s="1">
        <v>98.0</v>
      </c>
      <c r="E57" s="1">
        <v>84.0</v>
      </c>
      <c r="F57" s="1">
        <v>159.0</v>
      </c>
      <c r="G57" s="1">
        <v>155.0</v>
      </c>
      <c r="H57" s="1" t="s">
        <v>22</v>
      </c>
      <c r="I57" s="16">
        <v>861.0</v>
      </c>
      <c r="J57" s="1">
        <v>288783.0</v>
      </c>
      <c r="K57" s="1">
        <v>9.0</v>
      </c>
      <c r="L57" s="1">
        <v>106291.0</v>
      </c>
      <c r="M57" s="1">
        <v>0.0</v>
      </c>
      <c r="N57" s="1">
        <v>25.0</v>
      </c>
      <c r="O57" s="1">
        <v>1.0</v>
      </c>
      <c r="P57" s="1">
        <v>3.0</v>
      </c>
      <c r="Q57" s="1">
        <v>2.0</v>
      </c>
      <c r="R57" s="1" t="s">
        <v>22</v>
      </c>
      <c r="S57" s="16">
        <v>1834.0</v>
      </c>
      <c r="T57" s="1">
        <v>293271.0</v>
      </c>
      <c r="U57" s="1">
        <v>18.0</v>
      </c>
      <c r="V57" s="1" t="s">
        <v>45</v>
      </c>
      <c r="W57" s="2">
        <v>149354.0</v>
      </c>
      <c r="X57" s="1">
        <v>15.0</v>
      </c>
      <c r="Y57" s="2">
        <v>1.1508269E7</v>
      </c>
      <c r="Z57" s="1">
        <v>11.0</v>
      </c>
    </row>
    <row r="58">
      <c r="A58" s="1" t="s">
        <v>102</v>
      </c>
      <c r="B58" s="1">
        <v>38258.0</v>
      </c>
      <c r="C58" s="1">
        <v>0.0</v>
      </c>
      <c r="D58" s="1">
        <v>25.0</v>
      </c>
      <c r="E58" s="1">
        <v>3.0</v>
      </c>
      <c r="F58" s="1">
        <v>4.0</v>
      </c>
      <c r="G58" s="1">
        <v>2.0</v>
      </c>
      <c r="H58" s="1" t="s">
        <v>22</v>
      </c>
      <c r="I58" s="16">
        <v>868.0</v>
      </c>
      <c r="J58" s="1">
        <v>253487.0</v>
      </c>
      <c r="K58" s="1">
        <v>15.0</v>
      </c>
      <c r="L58" s="1">
        <v>36278.0</v>
      </c>
      <c r="M58" s="1">
        <v>0.0</v>
      </c>
      <c r="N58" s="1">
        <v>24.0</v>
      </c>
      <c r="O58" s="1">
        <v>3.0</v>
      </c>
      <c r="P58" s="1">
        <v>3.0</v>
      </c>
      <c r="Q58" s="1">
        <v>1.0</v>
      </c>
      <c r="R58" s="1" t="s">
        <v>22</v>
      </c>
      <c r="S58" s="7">
        <v>936.0</v>
      </c>
      <c r="T58" s="1">
        <v>208558.0</v>
      </c>
      <c r="U58" s="1">
        <v>7.0</v>
      </c>
      <c r="V58" s="1" t="s">
        <v>46</v>
      </c>
      <c r="W58" s="2">
        <v>270054.0</v>
      </c>
      <c r="X58" s="1">
        <v>15.0</v>
      </c>
      <c r="Y58" s="2">
        <v>1.0324341E7</v>
      </c>
      <c r="Z58" s="1">
        <v>12.0</v>
      </c>
    </row>
    <row r="59">
      <c r="A59" s="1" t="s">
        <v>154</v>
      </c>
      <c r="B59" s="1">
        <v>59190.0</v>
      </c>
      <c r="C59" s="1">
        <v>0.0</v>
      </c>
      <c r="D59" s="1">
        <v>24.0</v>
      </c>
      <c r="E59" s="1">
        <v>1.0</v>
      </c>
      <c r="F59" s="1">
        <v>1.0</v>
      </c>
      <c r="G59" s="1">
        <v>0.0</v>
      </c>
      <c r="H59" s="1" t="s">
        <v>22</v>
      </c>
      <c r="I59" s="16">
        <v>1031.0</v>
      </c>
      <c r="J59" s="1">
        <v>253487.0</v>
      </c>
      <c r="K59" s="1">
        <v>15.0</v>
      </c>
      <c r="L59" s="1">
        <v>54875.0</v>
      </c>
      <c r="M59" s="1">
        <v>0.0</v>
      </c>
      <c r="N59" s="1">
        <v>24.0</v>
      </c>
      <c r="O59" s="1">
        <v>1.0</v>
      </c>
      <c r="P59" s="1">
        <v>1.0</v>
      </c>
      <c r="Q59" s="1">
        <v>0.0</v>
      </c>
      <c r="R59" s="1" t="s">
        <v>22</v>
      </c>
      <c r="S59" s="16">
        <v>994.0</v>
      </c>
      <c r="T59" s="1">
        <v>215192.0</v>
      </c>
      <c r="U59" s="1">
        <v>11.0</v>
      </c>
      <c r="V59" s="1" t="s">
        <v>47</v>
      </c>
      <c r="W59" s="2">
        <v>267413.0</v>
      </c>
      <c r="X59" s="1">
        <v>17.0</v>
      </c>
      <c r="Y59" s="2">
        <v>1.0854274E7</v>
      </c>
      <c r="Z59" s="1">
        <v>11.0</v>
      </c>
    </row>
    <row r="60">
      <c r="A60" s="1" t="s">
        <v>104</v>
      </c>
      <c r="B60" s="1">
        <v>67155.0</v>
      </c>
      <c r="C60" s="1">
        <v>0.0</v>
      </c>
      <c r="D60" s="1">
        <v>26.0</v>
      </c>
      <c r="E60" s="1">
        <v>1.0</v>
      </c>
      <c r="F60" s="1">
        <v>4.0</v>
      </c>
      <c r="G60" s="1">
        <v>0.0</v>
      </c>
      <c r="H60" s="1" t="s">
        <v>21</v>
      </c>
      <c r="I60" s="17"/>
      <c r="J60" s="17"/>
      <c r="K60" s="16" t="str">
        <f>IF(A60=V80, #REF!, "")</f>
        <v/>
      </c>
      <c r="L60" s="1">
        <v>52834.0</v>
      </c>
      <c r="M60" s="1">
        <v>0.0</v>
      </c>
      <c r="N60" s="1">
        <v>24.0</v>
      </c>
      <c r="O60" s="1">
        <v>1.0</v>
      </c>
      <c r="P60" s="1">
        <v>1.0</v>
      </c>
      <c r="Q60" s="1">
        <v>0.0</v>
      </c>
      <c r="R60" s="1" t="s">
        <v>22</v>
      </c>
      <c r="S60" s="16">
        <v>944.0</v>
      </c>
      <c r="T60" s="1">
        <v>258335.0</v>
      </c>
      <c r="U60" s="1">
        <v>15.0</v>
      </c>
      <c r="V60" s="1" t="s">
        <v>48</v>
      </c>
      <c r="W60" s="2">
        <v>300061.0</v>
      </c>
      <c r="X60" s="1">
        <v>13.0</v>
      </c>
      <c r="Y60" s="2">
        <v>1.6072776E7</v>
      </c>
      <c r="Z60" s="1">
        <v>17.0</v>
      </c>
    </row>
    <row r="61">
      <c r="A61" s="1" t="s">
        <v>106</v>
      </c>
      <c r="B61" s="1">
        <v>60458.0</v>
      </c>
      <c r="C61" s="1">
        <v>0.0</v>
      </c>
      <c r="D61" s="1">
        <v>24.0</v>
      </c>
      <c r="E61" s="1">
        <v>1.0</v>
      </c>
      <c r="F61" s="1">
        <v>1.0</v>
      </c>
      <c r="G61" s="1">
        <v>0.0</v>
      </c>
      <c r="H61" s="1" t="s">
        <v>22</v>
      </c>
      <c r="I61" s="16">
        <v>1361.0</v>
      </c>
      <c r="J61" s="1">
        <v>189031.0</v>
      </c>
      <c r="K61" s="1">
        <v>15.0</v>
      </c>
      <c r="L61" s="1">
        <v>62197.0</v>
      </c>
      <c r="M61" s="1">
        <v>0.0</v>
      </c>
      <c r="N61" s="1">
        <v>35.0</v>
      </c>
      <c r="O61" s="1">
        <v>1.0</v>
      </c>
      <c r="P61" s="1">
        <v>13.0</v>
      </c>
      <c r="Q61" s="1">
        <v>2.0</v>
      </c>
      <c r="R61" s="1" t="s">
        <v>22</v>
      </c>
      <c r="S61" s="16">
        <v>1224.0</v>
      </c>
      <c r="T61" s="1">
        <v>191151.0</v>
      </c>
      <c r="U61" s="1">
        <v>11.0</v>
      </c>
      <c r="V61" s="1" t="s">
        <v>49</v>
      </c>
      <c r="W61" s="2">
        <v>305175.0</v>
      </c>
      <c r="X61" s="1">
        <v>17.0</v>
      </c>
      <c r="Y61" s="2">
        <v>1.1065285E7</v>
      </c>
      <c r="Z61" s="1">
        <v>12.0</v>
      </c>
    </row>
    <row r="62">
      <c r="A62" s="1" t="s">
        <v>108</v>
      </c>
      <c r="B62" s="1">
        <v>84061.0</v>
      </c>
      <c r="C62" s="1">
        <v>0.0</v>
      </c>
      <c r="D62" s="1">
        <v>24.0</v>
      </c>
      <c r="E62" s="1">
        <v>1.0</v>
      </c>
      <c r="F62" s="1">
        <v>1.0</v>
      </c>
      <c r="G62" s="1">
        <v>1.0</v>
      </c>
      <c r="H62" s="1" t="s">
        <v>22</v>
      </c>
      <c r="I62" s="16">
        <v>1197.0</v>
      </c>
      <c r="J62" s="1">
        <v>352840.0</v>
      </c>
      <c r="K62" s="1">
        <v>13.0</v>
      </c>
      <c r="L62" s="1">
        <v>69969.0</v>
      </c>
      <c r="M62" s="1">
        <v>0.0</v>
      </c>
      <c r="N62" s="1">
        <v>24.0</v>
      </c>
      <c r="O62" s="1">
        <v>1.0</v>
      </c>
      <c r="P62" s="1">
        <v>1.0</v>
      </c>
      <c r="Q62" s="1">
        <v>4.0</v>
      </c>
      <c r="R62" s="1" t="s">
        <v>21</v>
      </c>
      <c r="S62" s="16"/>
      <c r="V62" s="1" t="s">
        <v>51</v>
      </c>
      <c r="W62" s="2">
        <v>276587.0</v>
      </c>
      <c r="X62" s="1">
        <v>16.0</v>
      </c>
      <c r="Y62" s="2">
        <v>1.5779054E7</v>
      </c>
      <c r="Z62" s="1">
        <v>19.0</v>
      </c>
    </row>
    <row r="63">
      <c r="A63" s="1" t="s">
        <v>110</v>
      </c>
      <c r="B63" s="1">
        <v>55361.0</v>
      </c>
      <c r="C63" s="1">
        <v>0.0</v>
      </c>
      <c r="D63" s="1">
        <v>50.0</v>
      </c>
      <c r="E63" s="1">
        <v>1.0</v>
      </c>
      <c r="F63" s="1">
        <v>27.0</v>
      </c>
      <c r="G63" s="1">
        <v>1.0</v>
      </c>
      <c r="H63" s="1" t="s">
        <v>22</v>
      </c>
      <c r="I63" s="16">
        <v>1310.0</v>
      </c>
      <c r="J63" s="1">
        <v>220323.0</v>
      </c>
      <c r="K63" s="1">
        <v>10.0</v>
      </c>
      <c r="L63" s="1">
        <v>50244.0</v>
      </c>
      <c r="M63" s="1">
        <v>0.0</v>
      </c>
      <c r="N63" s="1">
        <v>24.0</v>
      </c>
      <c r="O63" s="1">
        <v>1.0</v>
      </c>
      <c r="P63" s="1">
        <v>1.0</v>
      </c>
      <c r="Q63" s="1">
        <v>0.0</v>
      </c>
      <c r="R63" s="1" t="s">
        <v>21</v>
      </c>
      <c r="S63" s="16"/>
      <c r="T63" s="16"/>
      <c r="U63" s="16"/>
      <c r="V63" s="1" t="s">
        <v>52</v>
      </c>
      <c r="W63" s="2">
        <v>351675.0</v>
      </c>
      <c r="X63" s="1">
        <v>12.0</v>
      </c>
      <c r="Y63" s="2">
        <v>1.0752157E7</v>
      </c>
      <c r="Z63" s="1">
        <v>12.0</v>
      </c>
    </row>
    <row r="64">
      <c r="A64" s="1" t="s">
        <v>113</v>
      </c>
      <c r="B64" s="1">
        <v>30087.0</v>
      </c>
      <c r="C64" s="1">
        <v>0.0</v>
      </c>
      <c r="D64" s="1">
        <v>24.0</v>
      </c>
      <c r="E64" s="1">
        <v>1.0</v>
      </c>
      <c r="F64" s="1">
        <v>1.0</v>
      </c>
      <c r="G64" s="1">
        <v>0.0</v>
      </c>
      <c r="H64" s="1" t="s">
        <v>22</v>
      </c>
      <c r="I64" s="16">
        <v>562.0</v>
      </c>
      <c r="J64" s="1">
        <v>225008.0</v>
      </c>
      <c r="K64" s="1">
        <v>15.0</v>
      </c>
      <c r="L64" s="1">
        <v>36101.0</v>
      </c>
      <c r="M64" s="1">
        <v>0.0</v>
      </c>
      <c r="N64" s="1">
        <v>29.0</v>
      </c>
      <c r="O64" s="1">
        <v>1.0</v>
      </c>
      <c r="P64" s="1">
        <v>10.0</v>
      </c>
      <c r="Q64" s="1">
        <v>6.0</v>
      </c>
      <c r="R64" s="1" t="s">
        <v>22</v>
      </c>
      <c r="S64" s="16">
        <v>608.0</v>
      </c>
      <c r="T64" s="1">
        <v>167095.0</v>
      </c>
      <c r="U64" s="1">
        <v>11.0</v>
      </c>
      <c r="V64" s="1" t="s">
        <v>53</v>
      </c>
      <c r="W64" s="2">
        <v>252071.0</v>
      </c>
      <c r="X64" s="1">
        <v>11.0</v>
      </c>
      <c r="Y64" s="2">
        <v>6360316.0</v>
      </c>
      <c r="Z64" s="1">
        <v>7.0</v>
      </c>
    </row>
    <row r="65">
      <c r="A65" s="1" t="s">
        <v>115</v>
      </c>
      <c r="B65" s="1">
        <v>61750.0</v>
      </c>
      <c r="C65" s="1">
        <v>0.0</v>
      </c>
      <c r="D65" s="1">
        <v>31.0</v>
      </c>
      <c r="E65" s="1">
        <v>1.0</v>
      </c>
      <c r="F65" s="1">
        <v>8.0</v>
      </c>
      <c r="G65" s="1">
        <v>0.0</v>
      </c>
      <c r="H65" s="1" t="s">
        <v>22</v>
      </c>
      <c r="I65" s="16">
        <v>1456.0</v>
      </c>
      <c r="J65" s="1">
        <v>248086.0</v>
      </c>
      <c r="K65" s="1">
        <v>13.0</v>
      </c>
      <c r="L65" s="1">
        <v>66035.0</v>
      </c>
      <c r="M65" s="1">
        <v>0.0</v>
      </c>
      <c r="N65" s="1">
        <v>31.0</v>
      </c>
      <c r="O65" s="1">
        <v>1.0</v>
      </c>
      <c r="P65" s="1">
        <v>11.0</v>
      </c>
      <c r="Q65" s="1">
        <v>3.0</v>
      </c>
      <c r="R65" s="1" t="s">
        <v>22</v>
      </c>
      <c r="S65" s="16">
        <v>1588.0</v>
      </c>
      <c r="T65" s="1">
        <v>261090.0</v>
      </c>
      <c r="U65" s="1">
        <v>23.0</v>
      </c>
      <c r="V65" s="1" t="s">
        <v>54</v>
      </c>
      <c r="W65" s="2">
        <v>305813.0</v>
      </c>
      <c r="X65" s="1">
        <v>12.0</v>
      </c>
      <c r="Y65" s="2">
        <v>7559816.0</v>
      </c>
      <c r="Z65" s="1">
        <v>11.0</v>
      </c>
    </row>
    <row r="66">
      <c r="A66" s="1" t="s">
        <v>101</v>
      </c>
      <c r="B66" s="1">
        <v>54918.0</v>
      </c>
      <c r="C66" s="1">
        <v>0.0</v>
      </c>
      <c r="D66" s="1">
        <v>29.0</v>
      </c>
      <c r="E66" s="1">
        <v>1.0</v>
      </c>
      <c r="F66" s="1">
        <v>6.0</v>
      </c>
      <c r="G66" s="1">
        <v>60.0</v>
      </c>
      <c r="H66" s="1" t="s">
        <v>22</v>
      </c>
      <c r="I66" s="16">
        <v>1243.0</v>
      </c>
      <c r="J66" s="1">
        <v>318750.0</v>
      </c>
      <c r="K66" s="1">
        <v>16.0</v>
      </c>
      <c r="L66" s="1">
        <v>77719.0</v>
      </c>
      <c r="M66" s="1">
        <v>0.0</v>
      </c>
      <c r="N66" s="1">
        <v>30.0</v>
      </c>
      <c r="O66" s="1">
        <v>1.0</v>
      </c>
      <c r="P66" s="1">
        <v>7.0</v>
      </c>
      <c r="Q66" s="1">
        <v>2.0</v>
      </c>
      <c r="R66" s="1" t="s">
        <v>22</v>
      </c>
      <c r="S66" s="1">
        <v>1247.0</v>
      </c>
      <c r="T66" s="1">
        <v>193749.0</v>
      </c>
      <c r="U66" s="1">
        <v>11.0</v>
      </c>
      <c r="V66" s="1" t="s">
        <v>55</v>
      </c>
      <c r="W66" s="2">
        <v>248122.0</v>
      </c>
      <c r="X66" s="1">
        <v>12.0</v>
      </c>
      <c r="Y66" s="2">
        <v>6998779.0</v>
      </c>
      <c r="Z66" s="1">
        <v>7.0</v>
      </c>
    </row>
    <row r="67">
      <c r="A67" s="1" t="s">
        <v>103</v>
      </c>
      <c r="B67" s="1">
        <v>60309.0</v>
      </c>
      <c r="C67" s="1">
        <v>0.0</v>
      </c>
      <c r="D67" s="1">
        <v>28.0</v>
      </c>
      <c r="E67" s="1">
        <v>1.0</v>
      </c>
      <c r="F67" s="1">
        <v>5.0</v>
      </c>
      <c r="G67" s="1">
        <v>0.0</v>
      </c>
      <c r="H67" s="1" t="s">
        <v>22</v>
      </c>
      <c r="I67" s="16">
        <v>1239.0</v>
      </c>
      <c r="J67" s="1">
        <v>288163.0</v>
      </c>
      <c r="K67" s="1">
        <v>14.0</v>
      </c>
      <c r="L67" s="1">
        <v>60102.0</v>
      </c>
      <c r="M67" s="1">
        <v>0.0</v>
      </c>
      <c r="N67" s="1">
        <v>34.0</v>
      </c>
      <c r="O67" s="1">
        <v>1.0</v>
      </c>
      <c r="P67" s="1">
        <v>11.0</v>
      </c>
      <c r="Q67" s="1">
        <v>0.0</v>
      </c>
      <c r="R67" s="1" t="s">
        <v>22</v>
      </c>
      <c r="S67" s="16">
        <v>1290.0</v>
      </c>
      <c r="T67" s="1">
        <v>432629.0</v>
      </c>
      <c r="U67" s="1">
        <v>16.0</v>
      </c>
      <c r="V67" s="1" t="s">
        <v>56</v>
      </c>
      <c r="W67" s="2">
        <v>274603.0</v>
      </c>
      <c r="X67" s="1">
        <v>17.0</v>
      </c>
      <c r="Y67" s="2">
        <v>2.6168502E7</v>
      </c>
      <c r="Z67" s="1">
        <v>22.0</v>
      </c>
    </row>
    <row r="68">
      <c r="A68" s="1" t="s">
        <v>105</v>
      </c>
      <c r="B68" s="1">
        <v>38944.0</v>
      </c>
      <c r="C68" s="1">
        <v>0.0</v>
      </c>
      <c r="D68" s="1">
        <v>24.0</v>
      </c>
      <c r="E68" s="1">
        <v>1.0</v>
      </c>
      <c r="F68" s="1">
        <v>4.0</v>
      </c>
      <c r="G68" s="1">
        <v>4.0</v>
      </c>
      <c r="H68" s="1" t="s">
        <v>22</v>
      </c>
      <c r="I68" s="16">
        <v>906.0</v>
      </c>
      <c r="J68" s="1">
        <v>189872.0</v>
      </c>
      <c r="K68" s="1">
        <v>9.0</v>
      </c>
      <c r="L68" s="1">
        <v>40011.0</v>
      </c>
      <c r="M68" s="1">
        <v>0.0</v>
      </c>
      <c r="N68" s="1">
        <v>24.0</v>
      </c>
      <c r="O68" s="1">
        <v>1.0</v>
      </c>
      <c r="P68" s="1">
        <v>1.0</v>
      </c>
      <c r="Q68" s="1">
        <v>1.0</v>
      </c>
      <c r="R68" s="1" t="s">
        <v>22</v>
      </c>
      <c r="S68" s="16">
        <v>939.0</v>
      </c>
      <c r="T68" s="1">
        <v>262292.0</v>
      </c>
      <c r="U68" s="1">
        <v>9.0</v>
      </c>
      <c r="V68" s="1" t="s">
        <v>57</v>
      </c>
      <c r="W68" s="2">
        <v>255292.0</v>
      </c>
      <c r="X68" s="1">
        <v>12.0</v>
      </c>
      <c r="Y68" s="2">
        <v>1.0993483E7</v>
      </c>
      <c r="Z68" s="1">
        <v>13.0</v>
      </c>
    </row>
    <row r="69">
      <c r="A69" s="1" t="s">
        <v>107</v>
      </c>
      <c r="B69" s="1">
        <v>41311.0</v>
      </c>
      <c r="C69" s="1">
        <v>0.0</v>
      </c>
      <c r="D69" s="1">
        <v>24.0</v>
      </c>
      <c r="E69" s="1">
        <v>1.0</v>
      </c>
      <c r="F69" s="1">
        <v>1.0</v>
      </c>
      <c r="G69" s="1">
        <v>0.0</v>
      </c>
      <c r="H69" s="1" t="s">
        <v>22</v>
      </c>
      <c r="I69" s="16">
        <v>1021.0</v>
      </c>
      <c r="J69" s="1">
        <v>123852.0</v>
      </c>
      <c r="K69" s="1">
        <v>16.0</v>
      </c>
      <c r="L69" s="1">
        <v>3002.0</v>
      </c>
      <c r="M69" s="1">
        <v>0.0</v>
      </c>
      <c r="N69" s="1">
        <v>31.0</v>
      </c>
      <c r="O69" s="1">
        <v>2.0</v>
      </c>
      <c r="P69" s="1">
        <v>9.0</v>
      </c>
      <c r="Q69" s="1">
        <v>0.0</v>
      </c>
      <c r="R69" s="1" t="s">
        <v>22</v>
      </c>
      <c r="S69" s="16">
        <v>482.0</v>
      </c>
      <c r="T69" s="1">
        <v>113787.0</v>
      </c>
      <c r="U69" s="1">
        <v>2.0</v>
      </c>
      <c r="V69" s="1" t="s">
        <v>58</v>
      </c>
      <c r="W69" s="2">
        <v>270256.0</v>
      </c>
      <c r="X69" s="1">
        <v>19.0</v>
      </c>
      <c r="Y69" s="2">
        <v>1.3300428E7</v>
      </c>
      <c r="Z69" s="1">
        <v>16.0</v>
      </c>
    </row>
    <row r="70">
      <c r="A70" s="1" t="s">
        <v>109</v>
      </c>
      <c r="B70" s="1">
        <v>63888.0</v>
      </c>
      <c r="C70" s="1">
        <v>0.0</v>
      </c>
      <c r="D70" s="1">
        <v>43.0</v>
      </c>
      <c r="E70" s="1">
        <v>1.0</v>
      </c>
      <c r="F70" s="1">
        <v>21.0</v>
      </c>
      <c r="G70" s="1">
        <v>76.0</v>
      </c>
      <c r="H70" s="1" t="s">
        <v>22</v>
      </c>
      <c r="I70" s="16">
        <v>1219.0</v>
      </c>
      <c r="J70" s="1">
        <v>199751.0</v>
      </c>
      <c r="K70" s="1">
        <v>8.0</v>
      </c>
      <c r="L70" s="1">
        <v>63299.0</v>
      </c>
      <c r="M70" s="1">
        <v>0.0</v>
      </c>
      <c r="N70" s="1">
        <v>24.0</v>
      </c>
      <c r="O70" s="1">
        <v>1.0</v>
      </c>
      <c r="P70" s="1">
        <v>1.0</v>
      </c>
      <c r="Q70" s="1">
        <v>1.0</v>
      </c>
      <c r="R70" s="1" t="s">
        <v>22</v>
      </c>
      <c r="S70" s="16">
        <v>1056.0</v>
      </c>
      <c r="T70" s="1">
        <v>172732.0</v>
      </c>
      <c r="U70" s="1">
        <v>18.0</v>
      </c>
      <c r="V70" s="1" t="s">
        <v>59</v>
      </c>
      <c r="W70" s="2">
        <v>287800.0</v>
      </c>
      <c r="X70" s="1">
        <v>12.0</v>
      </c>
      <c r="Y70" s="2">
        <v>1.0740844E7</v>
      </c>
      <c r="Z70" s="1">
        <v>11.0</v>
      </c>
    </row>
    <row r="71">
      <c r="A71" s="1" t="s">
        <v>111</v>
      </c>
      <c r="B71" s="1">
        <v>53578.0</v>
      </c>
      <c r="C71" s="1">
        <v>0.0</v>
      </c>
      <c r="D71" s="1">
        <v>24.0</v>
      </c>
      <c r="E71" s="1">
        <v>1.0</v>
      </c>
      <c r="F71" s="1">
        <v>1.0</v>
      </c>
      <c r="G71" s="1">
        <v>0.0</v>
      </c>
      <c r="H71" s="1" t="s">
        <v>22</v>
      </c>
      <c r="I71" s="16">
        <v>908.0</v>
      </c>
      <c r="J71" s="1">
        <v>134930.0</v>
      </c>
      <c r="K71" s="1">
        <v>12.0</v>
      </c>
      <c r="L71" s="1">
        <v>40876.0</v>
      </c>
      <c r="M71" s="1">
        <v>0.0</v>
      </c>
      <c r="N71" s="1">
        <v>24.0</v>
      </c>
      <c r="O71" s="1">
        <v>1.0</v>
      </c>
      <c r="P71" s="1">
        <v>1.0</v>
      </c>
      <c r="Q71" s="1">
        <v>0.0</v>
      </c>
      <c r="R71" s="1" t="s">
        <v>22</v>
      </c>
      <c r="S71" s="16">
        <v>941.0</v>
      </c>
      <c r="T71" s="1">
        <v>103698.0</v>
      </c>
      <c r="U71" s="1">
        <v>13.0</v>
      </c>
      <c r="V71" s="1" t="s">
        <v>60</v>
      </c>
      <c r="W71" s="2">
        <v>250319.0</v>
      </c>
      <c r="X71" s="1">
        <v>7.0</v>
      </c>
      <c r="Y71" s="2">
        <v>1.0740844E7</v>
      </c>
      <c r="Z71" s="1">
        <v>9.0</v>
      </c>
    </row>
    <row r="72">
      <c r="A72" s="1" t="s">
        <v>114</v>
      </c>
      <c r="B72" s="1">
        <v>34823.0</v>
      </c>
      <c r="C72" s="1">
        <v>0.0</v>
      </c>
      <c r="D72" s="1">
        <v>24.0</v>
      </c>
      <c r="E72" s="1">
        <v>1.0</v>
      </c>
      <c r="F72" s="1">
        <v>5.0</v>
      </c>
      <c r="G72" s="1">
        <v>46.0</v>
      </c>
      <c r="H72" s="1" t="s">
        <v>22</v>
      </c>
      <c r="I72" s="16">
        <v>1278.0</v>
      </c>
      <c r="J72" s="1">
        <v>196181.0</v>
      </c>
      <c r="K72" s="1">
        <v>8.0</v>
      </c>
      <c r="L72" s="1">
        <v>36185.0</v>
      </c>
      <c r="M72" s="1">
        <v>0.0</v>
      </c>
      <c r="N72" s="1">
        <v>24.0</v>
      </c>
      <c r="O72" s="1">
        <v>1.0</v>
      </c>
      <c r="P72" s="1">
        <v>1.0</v>
      </c>
      <c r="Q72" s="1">
        <v>0.0</v>
      </c>
      <c r="R72" s="1" t="s">
        <v>22</v>
      </c>
      <c r="V72" s="1" t="s">
        <v>61</v>
      </c>
      <c r="W72" s="2">
        <v>351995.0</v>
      </c>
      <c r="X72" s="1">
        <v>11.0</v>
      </c>
      <c r="Y72" s="2">
        <v>1.4337628E7</v>
      </c>
      <c r="Z72" s="1">
        <v>13.0</v>
      </c>
    </row>
    <row r="73">
      <c r="A73" s="1" t="s">
        <v>116</v>
      </c>
      <c r="B73" s="1">
        <v>47230.0</v>
      </c>
      <c r="C73" s="1">
        <v>0.0</v>
      </c>
      <c r="D73" s="1">
        <v>24.0</v>
      </c>
      <c r="E73" s="1">
        <v>1.0</v>
      </c>
      <c r="F73" s="1">
        <v>1.0</v>
      </c>
      <c r="G73" s="1">
        <v>2.0</v>
      </c>
      <c r="H73" s="1" t="s">
        <v>22</v>
      </c>
      <c r="I73" s="16">
        <v>1081.0</v>
      </c>
      <c r="J73" s="1">
        <v>178464.0</v>
      </c>
      <c r="K73" s="1">
        <v>13.0</v>
      </c>
      <c r="L73" s="1">
        <v>33820.0</v>
      </c>
      <c r="M73" s="1">
        <v>0.0</v>
      </c>
      <c r="N73" s="1">
        <v>37.0</v>
      </c>
      <c r="O73" s="1">
        <v>1.0</v>
      </c>
      <c r="P73" s="1">
        <v>14.0</v>
      </c>
      <c r="Q73" s="1">
        <v>0.0</v>
      </c>
      <c r="R73" s="1" t="s">
        <v>22</v>
      </c>
      <c r="T73" s="1"/>
      <c r="U73" s="1"/>
      <c r="V73" s="1" t="s">
        <v>63</v>
      </c>
      <c r="W73" s="2">
        <v>202745.0</v>
      </c>
      <c r="X73" s="1">
        <v>7.0</v>
      </c>
      <c r="Y73" s="2">
        <v>1.7146726E7</v>
      </c>
      <c r="Z73" s="1">
        <v>17.0</v>
      </c>
    </row>
    <row r="74">
      <c r="A74" s="1" t="s">
        <v>117</v>
      </c>
      <c r="B74" s="1">
        <v>56691.0</v>
      </c>
      <c r="C74" s="1">
        <v>0.0</v>
      </c>
      <c r="D74" s="1">
        <v>24.0</v>
      </c>
      <c r="E74" s="1">
        <v>1.0</v>
      </c>
      <c r="F74" s="1">
        <v>3.0</v>
      </c>
      <c r="G74" s="1">
        <v>3.0</v>
      </c>
      <c r="H74" s="1" t="s">
        <v>22</v>
      </c>
      <c r="I74" s="16">
        <v>1037.0</v>
      </c>
      <c r="J74" s="1">
        <v>394411.0</v>
      </c>
      <c r="K74" s="1">
        <v>23.0</v>
      </c>
      <c r="L74" s="1">
        <v>55139.0</v>
      </c>
      <c r="M74" s="1">
        <v>0.0</v>
      </c>
      <c r="N74" s="1">
        <v>24.0</v>
      </c>
      <c r="O74" s="1">
        <v>1.0</v>
      </c>
      <c r="P74" s="1">
        <v>1.0</v>
      </c>
      <c r="Q74" s="1">
        <v>0.0</v>
      </c>
      <c r="R74" s="1" t="s">
        <v>22</v>
      </c>
      <c r="S74" s="1">
        <v>1047.0</v>
      </c>
      <c r="T74" s="1">
        <v>328765.0</v>
      </c>
      <c r="U74" s="1">
        <v>13.0</v>
      </c>
      <c r="V74" s="1" t="s">
        <v>64</v>
      </c>
      <c r="W74" s="2">
        <v>285476.0</v>
      </c>
      <c r="X74" s="1">
        <v>22.0</v>
      </c>
      <c r="Y74" s="2">
        <v>7766696.0</v>
      </c>
      <c r="Z74" s="1">
        <v>8.0</v>
      </c>
    </row>
    <row r="75">
      <c r="A75" s="1" t="s">
        <v>118</v>
      </c>
      <c r="B75" s="1">
        <v>54572.0</v>
      </c>
      <c r="C75" s="1">
        <v>0.0</v>
      </c>
      <c r="D75" s="1">
        <v>25.0</v>
      </c>
      <c r="E75" s="1">
        <v>1.0</v>
      </c>
      <c r="F75" s="1">
        <v>2.0</v>
      </c>
      <c r="G75" s="1">
        <v>5.0</v>
      </c>
      <c r="H75" s="1" t="s">
        <v>22</v>
      </c>
      <c r="I75" s="16">
        <v>1142.0</v>
      </c>
      <c r="J75" s="1">
        <v>301181.0</v>
      </c>
      <c r="K75" s="1">
        <v>17.0</v>
      </c>
      <c r="L75" s="1">
        <v>55744.0</v>
      </c>
      <c r="M75" s="1">
        <v>0.0</v>
      </c>
      <c r="N75" s="1">
        <v>36.0</v>
      </c>
      <c r="O75" s="1">
        <v>1.0</v>
      </c>
      <c r="P75" s="1">
        <v>13.0</v>
      </c>
      <c r="Q75" s="1">
        <v>0.0</v>
      </c>
      <c r="R75" s="1" t="s">
        <v>21</v>
      </c>
      <c r="V75" s="1" t="s">
        <v>65</v>
      </c>
      <c r="W75" s="2">
        <v>225282.0</v>
      </c>
      <c r="X75" s="1">
        <v>13.0</v>
      </c>
      <c r="Y75" s="2">
        <v>1.2851093E7</v>
      </c>
      <c r="Z75" s="1">
        <v>13.0</v>
      </c>
    </row>
    <row r="76">
      <c r="A76" s="1" t="s">
        <v>119</v>
      </c>
      <c r="B76" s="1">
        <v>56481.0</v>
      </c>
      <c r="C76" s="1">
        <v>0.0</v>
      </c>
      <c r="D76" s="1">
        <v>24.0</v>
      </c>
      <c r="E76" s="1">
        <v>1.0</v>
      </c>
      <c r="F76" s="1">
        <v>1.0</v>
      </c>
      <c r="G76" s="1">
        <v>2.0</v>
      </c>
      <c r="H76" s="1" t="s">
        <v>22</v>
      </c>
      <c r="I76" s="16">
        <v>1146.0</v>
      </c>
      <c r="J76" s="1">
        <v>299694.0</v>
      </c>
      <c r="K76" s="1">
        <v>10.0</v>
      </c>
      <c r="L76" s="1">
        <v>53703.0</v>
      </c>
      <c r="M76" s="1">
        <v>0.0</v>
      </c>
      <c r="N76" s="1">
        <v>24.0</v>
      </c>
      <c r="O76" s="1">
        <v>1.0</v>
      </c>
      <c r="P76" s="1">
        <v>1.0</v>
      </c>
      <c r="Q76" s="1">
        <v>60.0</v>
      </c>
      <c r="R76" s="1" t="s">
        <v>22</v>
      </c>
      <c r="V76" s="1" t="s">
        <v>66</v>
      </c>
      <c r="W76" s="2">
        <v>286233.0</v>
      </c>
      <c r="X76" s="1">
        <v>16.0</v>
      </c>
      <c r="Y76" s="2">
        <v>1.4926614E7</v>
      </c>
      <c r="Z76" s="1">
        <v>16.0</v>
      </c>
    </row>
    <row r="77">
      <c r="A77" s="1" t="s">
        <v>120</v>
      </c>
      <c r="B77" s="1">
        <v>49743.0</v>
      </c>
      <c r="C77" s="1">
        <v>0.0</v>
      </c>
      <c r="D77" s="1">
        <v>25.0</v>
      </c>
      <c r="E77" s="1">
        <v>1.0</v>
      </c>
      <c r="F77" s="1">
        <v>7.0</v>
      </c>
      <c r="G77" s="1">
        <v>6.0</v>
      </c>
      <c r="H77" s="1" t="s">
        <v>22</v>
      </c>
      <c r="I77" s="16">
        <v>702.0</v>
      </c>
      <c r="J77" s="1">
        <v>215327.0</v>
      </c>
      <c r="K77" s="1">
        <v>16.0</v>
      </c>
      <c r="L77" s="1">
        <v>44625.0</v>
      </c>
      <c r="M77" s="1">
        <v>0.0</v>
      </c>
      <c r="N77" s="1">
        <v>24.0</v>
      </c>
      <c r="O77" s="1">
        <v>2.0</v>
      </c>
      <c r="P77" s="1">
        <v>2.0</v>
      </c>
      <c r="Q77" s="1">
        <v>0.0</v>
      </c>
      <c r="R77" s="1" t="s">
        <v>22</v>
      </c>
      <c r="V77" s="1" t="s">
        <v>68</v>
      </c>
      <c r="W77" s="2">
        <v>299011.0</v>
      </c>
      <c r="X77" s="1">
        <v>11.0</v>
      </c>
      <c r="Y77" s="2">
        <v>1.342039E7</v>
      </c>
      <c r="Z77" s="1">
        <v>14.0</v>
      </c>
    </row>
    <row r="78">
      <c r="A78" s="1" t="s">
        <v>121</v>
      </c>
      <c r="B78" s="1">
        <v>60284.0</v>
      </c>
      <c r="C78" s="1">
        <v>0.0</v>
      </c>
      <c r="D78" s="1">
        <v>24.0</v>
      </c>
      <c r="E78" s="1">
        <v>1.0</v>
      </c>
      <c r="F78" s="1">
        <v>1.0</v>
      </c>
      <c r="G78" s="1">
        <v>4.0</v>
      </c>
      <c r="H78" s="1" t="s">
        <v>22</v>
      </c>
      <c r="I78" s="16">
        <v>1033.0</v>
      </c>
      <c r="J78" s="1">
        <v>226794.0</v>
      </c>
      <c r="K78" s="1">
        <v>18.0</v>
      </c>
      <c r="L78" s="1">
        <v>59521.0</v>
      </c>
      <c r="M78" s="1">
        <v>0.0</v>
      </c>
      <c r="N78" s="1">
        <v>24.0</v>
      </c>
      <c r="O78" s="1">
        <v>1.0</v>
      </c>
      <c r="P78" s="1">
        <v>1.0</v>
      </c>
      <c r="Q78" s="1">
        <v>0.0</v>
      </c>
      <c r="R78" s="1" t="s">
        <v>21</v>
      </c>
      <c r="V78" s="1" t="s">
        <v>69</v>
      </c>
      <c r="W78" s="2">
        <v>283922.0</v>
      </c>
      <c r="X78" s="1">
        <v>9.0</v>
      </c>
      <c r="Y78" s="2">
        <v>1.6977168E7</v>
      </c>
      <c r="Z78" s="1">
        <v>18.0</v>
      </c>
    </row>
    <row r="79">
      <c r="A79" s="1" t="s">
        <v>122</v>
      </c>
      <c r="B79" s="1">
        <v>55959.0</v>
      </c>
      <c r="C79" s="1">
        <v>0.0</v>
      </c>
      <c r="D79" s="1">
        <v>24.0</v>
      </c>
      <c r="E79" s="1">
        <v>3.0</v>
      </c>
      <c r="F79" s="1">
        <v>3.0</v>
      </c>
      <c r="G79" s="1">
        <v>0.0</v>
      </c>
      <c r="H79" s="1" t="s">
        <v>22</v>
      </c>
      <c r="I79" s="16">
        <v>1758.0</v>
      </c>
      <c r="J79" s="1">
        <v>198009.0</v>
      </c>
      <c r="K79" s="1">
        <v>21.0</v>
      </c>
      <c r="L79" s="1">
        <v>71908.0</v>
      </c>
      <c r="M79" s="1">
        <v>0.0</v>
      </c>
      <c r="N79" s="1">
        <v>26.0</v>
      </c>
      <c r="O79" s="1">
        <v>5.0</v>
      </c>
      <c r="P79" s="1">
        <v>11.0</v>
      </c>
      <c r="Q79" s="1">
        <v>12.0</v>
      </c>
      <c r="R79" s="1" t="s">
        <v>22</v>
      </c>
      <c r="V79" s="1" t="s">
        <v>70</v>
      </c>
      <c r="W79" s="2">
        <v>178566.0</v>
      </c>
      <c r="X79" s="1">
        <v>13.0</v>
      </c>
      <c r="Y79" s="2">
        <v>1.1664645E7</v>
      </c>
      <c r="Z79" s="1">
        <v>11.0</v>
      </c>
    </row>
    <row r="80">
      <c r="A80" s="1" t="s">
        <v>123</v>
      </c>
      <c r="B80" s="1">
        <v>79268.0</v>
      </c>
      <c r="C80" s="1">
        <v>0.0</v>
      </c>
      <c r="D80" s="1">
        <v>24.0</v>
      </c>
      <c r="E80" s="1">
        <v>1.0</v>
      </c>
      <c r="F80" s="1">
        <v>2.0</v>
      </c>
      <c r="G80" s="1">
        <v>3.0</v>
      </c>
      <c r="H80" s="1" t="s">
        <v>22</v>
      </c>
      <c r="I80" s="17"/>
      <c r="J80" s="17"/>
      <c r="K80" s="16" t="str">
        <f t="shared" ref="K80:K84" si="1">IF(A80=A278, #REF!, "")</f>
        <v/>
      </c>
      <c r="L80" s="1">
        <v>75452.0</v>
      </c>
      <c r="M80" s="1">
        <v>0.0</v>
      </c>
      <c r="N80" s="1">
        <v>24.0</v>
      </c>
      <c r="O80" s="1">
        <v>1.0</v>
      </c>
      <c r="P80" s="1">
        <v>4.0</v>
      </c>
      <c r="Q80" s="1">
        <v>5.0</v>
      </c>
      <c r="R80" s="1" t="s">
        <v>22</v>
      </c>
      <c r="V80" s="1" t="s">
        <v>71</v>
      </c>
      <c r="W80" s="2">
        <v>244717.0</v>
      </c>
      <c r="X80" s="1">
        <v>17.0</v>
      </c>
      <c r="Y80" s="2">
        <v>1.0853597E7</v>
      </c>
      <c r="Z80" s="1">
        <v>13.0</v>
      </c>
    </row>
    <row r="81">
      <c r="A81" s="1" t="s">
        <v>124</v>
      </c>
      <c r="B81" s="1">
        <v>55218.0</v>
      </c>
      <c r="C81" s="1">
        <v>0.0</v>
      </c>
      <c r="D81" s="1">
        <v>24.0</v>
      </c>
      <c r="E81" s="1">
        <v>1.0</v>
      </c>
      <c r="F81" s="1">
        <v>1.0</v>
      </c>
      <c r="G81" s="1">
        <v>0.0</v>
      </c>
      <c r="H81" s="1" t="s">
        <v>21</v>
      </c>
      <c r="I81" s="17"/>
      <c r="J81" s="17"/>
      <c r="K81" s="16" t="str">
        <f t="shared" si="1"/>
        <v/>
      </c>
      <c r="L81" s="1">
        <v>40379.0</v>
      </c>
      <c r="M81" s="1">
        <v>0.0</v>
      </c>
      <c r="N81" s="1">
        <v>24.0</v>
      </c>
      <c r="O81" s="1">
        <v>4.0</v>
      </c>
      <c r="P81" s="1">
        <v>4.0</v>
      </c>
      <c r="Q81" s="1">
        <v>0.0</v>
      </c>
      <c r="R81" s="1" t="s">
        <v>22</v>
      </c>
      <c r="V81" s="1" t="s">
        <v>72</v>
      </c>
      <c r="W81" s="2">
        <v>226326.0</v>
      </c>
      <c r="X81" s="1">
        <v>10.0</v>
      </c>
      <c r="Y81" s="2">
        <v>1.4404976E7</v>
      </c>
      <c r="Z81" s="1">
        <v>14.0</v>
      </c>
    </row>
    <row r="82">
      <c r="A82" s="1" t="s">
        <v>125</v>
      </c>
      <c r="B82" s="1">
        <v>66535.0</v>
      </c>
      <c r="C82" s="1">
        <v>0.0</v>
      </c>
      <c r="D82" s="1">
        <v>24.0</v>
      </c>
      <c r="E82" s="1">
        <v>1.0</v>
      </c>
      <c r="F82" s="1">
        <v>1.0</v>
      </c>
      <c r="G82" s="1">
        <v>66.0</v>
      </c>
      <c r="H82" s="1" t="s">
        <v>21</v>
      </c>
      <c r="I82" s="17"/>
      <c r="J82" s="17"/>
      <c r="K82" s="16" t="str">
        <f t="shared" si="1"/>
        <v/>
      </c>
      <c r="L82" s="1">
        <v>66626.0</v>
      </c>
      <c r="M82" s="1">
        <v>0.0</v>
      </c>
      <c r="N82" s="1">
        <v>24.0</v>
      </c>
      <c r="O82" s="1">
        <v>1.0</v>
      </c>
      <c r="P82" s="1">
        <v>1.0</v>
      </c>
      <c r="Q82" s="1">
        <v>57.0</v>
      </c>
      <c r="R82" s="1" t="s">
        <v>21</v>
      </c>
      <c r="T82" s="16"/>
      <c r="U82" s="16"/>
      <c r="V82" s="1" t="s">
        <v>73</v>
      </c>
      <c r="W82" s="2">
        <v>261325.0</v>
      </c>
      <c r="X82" s="1">
        <v>11.0</v>
      </c>
      <c r="Y82" s="2">
        <v>1.1195043E7</v>
      </c>
      <c r="Z82" s="1">
        <v>11.0</v>
      </c>
    </row>
    <row r="83">
      <c r="A83" s="1" t="s">
        <v>126</v>
      </c>
      <c r="B83" s="1">
        <v>67348.0</v>
      </c>
      <c r="C83" s="1">
        <v>0.0</v>
      </c>
      <c r="D83" s="1">
        <v>29.0</v>
      </c>
      <c r="E83" s="1">
        <v>1.0</v>
      </c>
      <c r="F83" s="1">
        <v>6.0</v>
      </c>
      <c r="G83" s="1">
        <v>0.0</v>
      </c>
      <c r="H83" s="1" t="s">
        <v>21</v>
      </c>
      <c r="I83" s="17"/>
      <c r="J83" s="17"/>
      <c r="K83" s="16" t="str">
        <f t="shared" si="1"/>
        <v/>
      </c>
      <c r="L83" s="1">
        <v>66557.0</v>
      </c>
      <c r="M83" s="1">
        <v>0.0</v>
      </c>
      <c r="N83" s="1">
        <v>24.0</v>
      </c>
      <c r="O83" s="1">
        <v>1.0</v>
      </c>
      <c r="P83" s="1">
        <v>3.0</v>
      </c>
      <c r="Q83" s="1">
        <v>5.0</v>
      </c>
      <c r="R83" s="1" t="s">
        <v>22</v>
      </c>
      <c r="S83" s="16"/>
      <c r="T83" s="16"/>
      <c r="U83" s="16"/>
      <c r="V83" s="1" t="s">
        <v>74</v>
      </c>
      <c r="W83" s="2">
        <v>351330.0</v>
      </c>
      <c r="X83" s="1">
        <v>11.0</v>
      </c>
      <c r="Y83" s="2">
        <v>7284727.0</v>
      </c>
      <c r="Z83" s="1">
        <v>8.0</v>
      </c>
    </row>
    <row r="84">
      <c r="A84" s="1" t="s">
        <v>127</v>
      </c>
      <c r="B84" s="1">
        <v>52062.0</v>
      </c>
      <c r="C84" s="1">
        <v>0.0</v>
      </c>
      <c r="D84" s="1">
        <v>24.0</v>
      </c>
      <c r="E84" s="1">
        <v>1.0</v>
      </c>
      <c r="F84" s="1">
        <v>1.0</v>
      </c>
      <c r="G84" s="1">
        <v>1.0</v>
      </c>
      <c r="H84" s="1" t="s">
        <v>21</v>
      </c>
      <c r="I84" s="16">
        <v>738.0</v>
      </c>
      <c r="J84" s="16"/>
      <c r="K84" s="16" t="str">
        <f t="shared" si="1"/>
        <v/>
      </c>
      <c r="L84" s="1">
        <v>54929.0</v>
      </c>
      <c r="M84" s="1">
        <v>0.0</v>
      </c>
      <c r="N84" s="1">
        <v>32.0</v>
      </c>
      <c r="O84" s="1">
        <v>1.0</v>
      </c>
      <c r="P84" s="1">
        <v>9.0</v>
      </c>
      <c r="Q84" s="1">
        <v>3.0</v>
      </c>
      <c r="R84" s="1" t="s">
        <v>22</v>
      </c>
      <c r="S84" s="16">
        <v>928.0</v>
      </c>
      <c r="T84" s="1">
        <v>317065.0</v>
      </c>
      <c r="U84" s="1">
        <v>14.0</v>
      </c>
      <c r="V84" s="1" t="s">
        <v>75</v>
      </c>
      <c r="W84" s="2">
        <v>206837.0</v>
      </c>
      <c r="X84" s="1">
        <v>11.0</v>
      </c>
      <c r="Y84" s="2">
        <v>1.0471201E7</v>
      </c>
      <c r="Z84" s="1">
        <v>11.0</v>
      </c>
    </row>
    <row r="85">
      <c r="A85" s="1" t="s">
        <v>128</v>
      </c>
      <c r="B85" s="1">
        <v>51216.0</v>
      </c>
      <c r="C85" s="1">
        <v>0.0</v>
      </c>
      <c r="D85" s="1">
        <v>24.0</v>
      </c>
      <c r="E85" s="1">
        <v>1.0</v>
      </c>
      <c r="F85" s="1">
        <v>1.0</v>
      </c>
      <c r="G85" s="1">
        <v>0.0</v>
      </c>
      <c r="H85" s="1" t="s">
        <v>22</v>
      </c>
      <c r="I85" s="16">
        <v>424.0</v>
      </c>
      <c r="J85" s="1">
        <v>271768.0</v>
      </c>
      <c r="K85" s="1">
        <v>11.0</v>
      </c>
      <c r="L85" s="1">
        <v>45656.0</v>
      </c>
      <c r="M85" s="1">
        <v>0.0</v>
      </c>
      <c r="N85" s="1">
        <v>37.0</v>
      </c>
      <c r="O85" s="1">
        <v>1.0</v>
      </c>
      <c r="P85" s="1">
        <v>14.0</v>
      </c>
      <c r="Q85" s="1">
        <v>0.0</v>
      </c>
      <c r="R85" s="1" t="s">
        <v>22</v>
      </c>
      <c r="S85" s="16">
        <v>605.0</v>
      </c>
      <c r="T85" s="1">
        <v>300693.0</v>
      </c>
      <c r="U85" s="1">
        <v>13.0</v>
      </c>
    </row>
    <row r="86">
      <c r="A86" s="1" t="s">
        <v>129</v>
      </c>
      <c r="B86" s="1">
        <v>51055.0</v>
      </c>
      <c r="C86" s="1">
        <v>0.0</v>
      </c>
      <c r="D86" s="1">
        <v>26.0</v>
      </c>
      <c r="E86" s="1">
        <v>1.0</v>
      </c>
      <c r="F86" s="1">
        <v>3.0</v>
      </c>
      <c r="G86" s="1">
        <v>64.0</v>
      </c>
      <c r="H86" s="1" t="s">
        <v>22</v>
      </c>
      <c r="I86" s="16">
        <v>1163.0</v>
      </c>
      <c r="J86" s="1">
        <v>273571.0</v>
      </c>
      <c r="K86" s="1">
        <v>12.0</v>
      </c>
      <c r="L86" s="1">
        <v>51113.0</v>
      </c>
      <c r="M86" s="1">
        <v>0.0</v>
      </c>
      <c r="N86" s="1">
        <v>26.0</v>
      </c>
      <c r="O86" s="1">
        <v>1.0</v>
      </c>
      <c r="P86" s="1">
        <v>3.0</v>
      </c>
      <c r="Q86" s="1">
        <v>3.0</v>
      </c>
      <c r="R86" s="1" t="s">
        <v>22</v>
      </c>
      <c r="S86" s="16">
        <v>376.0</v>
      </c>
      <c r="T86" s="1">
        <v>156345.0</v>
      </c>
      <c r="U86" s="1">
        <v>11.0</v>
      </c>
    </row>
    <row r="87">
      <c r="A87" s="1" t="s">
        <v>130</v>
      </c>
      <c r="B87" s="1">
        <v>57009.0</v>
      </c>
      <c r="C87" s="1">
        <v>0.0</v>
      </c>
      <c r="D87" s="1">
        <v>35.0</v>
      </c>
      <c r="E87" s="1">
        <v>1.0</v>
      </c>
      <c r="F87" s="1">
        <v>12.0</v>
      </c>
      <c r="G87" s="1">
        <v>2.0</v>
      </c>
      <c r="H87" s="1" t="s">
        <v>22</v>
      </c>
      <c r="I87" s="16">
        <v>1043.0</v>
      </c>
      <c r="J87" s="1">
        <v>365439.0</v>
      </c>
      <c r="K87" s="1">
        <v>17.0</v>
      </c>
      <c r="L87" s="1">
        <v>53381.0</v>
      </c>
      <c r="M87" s="1">
        <v>0.0</v>
      </c>
      <c r="N87" s="1">
        <v>50.0</v>
      </c>
      <c r="O87" s="1">
        <v>2.0</v>
      </c>
      <c r="P87" s="1">
        <v>28.0</v>
      </c>
      <c r="Q87" s="1">
        <v>42.0</v>
      </c>
      <c r="R87" s="1" t="s">
        <v>22</v>
      </c>
      <c r="S87" s="16">
        <v>942.0</v>
      </c>
      <c r="T87" s="1">
        <v>207303.0</v>
      </c>
      <c r="U87" s="1">
        <v>15.0</v>
      </c>
    </row>
    <row r="88">
      <c r="A88" s="1" t="s">
        <v>131</v>
      </c>
      <c r="B88" s="1">
        <v>68497.0</v>
      </c>
      <c r="C88" s="1">
        <v>0.0</v>
      </c>
      <c r="D88" s="1">
        <v>32.0</v>
      </c>
      <c r="E88" s="1">
        <v>1.0</v>
      </c>
      <c r="F88" s="1">
        <v>11.0</v>
      </c>
      <c r="G88" s="1">
        <v>66.0</v>
      </c>
      <c r="H88" s="1" t="s">
        <v>22</v>
      </c>
      <c r="I88" s="16">
        <v>1554.0</v>
      </c>
      <c r="J88" s="1">
        <v>165074.0</v>
      </c>
      <c r="K88" s="1">
        <v>11.0</v>
      </c>
      <c r="L88" s="1">
        <v>76926.0</v>
      </c>
      <c r="M88" s="1">
        <v>2.0</v>
      </c>
      <c r="N88" s="1">
        <v>29.0</v>
      </c>
      <c r="O88" s="1">
        <v>1.0</v>
      </c>
      <c r="P88" s="1">
        <v>8.0</v>
      </c>
      <c r="Q88" s="1">
        <v>3.0</v>
      </c>
      <c r="R88" s="1" t="s">
        <v>22</v>
      </c>
      <c r="S88" s="16">
        <v>1327.0</v>
      </c>
      <c r="T88" s="1">
        <v>239590.0</v>
      </c>
      <c r="U88" s="1">
        <v>15.0</v>
      </c>
    </row>
    <row r="89">
      <c r="A89" s="1" t="s">
        <v>139</v>
      </c>
      <c r="B89" s="1">
        <v>55523.0</v>
      </c>
      <c r="C89" s="1">
        <v>0.0</v>
      </c>
      <c r="D89" s="1">
        <v>44.0</v>
      </c>
      <c r="E89" s="1">
        <v>1.0</v>
      </c>
      <c r="F89" s="1">
        <v>21.0</v>
      </c>
      <c r="G89" s="1">
        <v>1.0</v>
      </c>
      <c r="H89" s="1" t="s">
        <v>21</v>
      </c>
      <c r="J89" s="16"/>
      <c r="K89" s="16" t="str">
        <f>IF(A89=A287, #REF!, "")</f>
        <v/>
      </c>
      <c r="L89" s="1">
        <v>53500.0</v>
      </c>
      <c r="M89" s="1">
        <v>0.0</v>
      </c>
      <c r="N89" s="1">
        <v>24.0</v>
      </c>
      <c r="O89" s="1">
        <v>1.0</v>
      </c>
      <c r="P89" s="1">
        <v>1.0</v>
      </c>
      <c r="Q89" s="1">
        <v>1.0</v>
      </c>
      <c r="R89" s="1" t="s">
        <v>21</v>
      </c>
    </row>
    <row r="90">
      <c r="A90" s="1" t="s">
        <v>140</v>
      </c>
      <c r="B90" s="1">
        <v>68612.0</v>
      </c>
      <c r="C90" s="1">
        <v>0.0</v>
      </c>
      <c r="D90" s="1">
        <v>24.0</v>
      </c>
      <c r="E90" s="1">
        <v>1.0</v>
      </c>
      <c r="F90" s="1">
        <v>1.0</v>
      </c>
      <c r="G90" s="1">
        <v>8.0</v>
      </c>
      <c r="H90" s="1" t="s">
        <v>22</v>
      </c>
      <c r="I90" s="16">
        <v>742.0</v>
      </c>
      <c r="J90" s="1">
        <v>309982.0</v>
      </c>
      <c r="K90" s="1">
        <v>19.0</v>
      </c>
      <c r="L90" s="1">
        <v>72725.0</v>
      </c>
      <c r="M90" s="1">
        <v>0.0</v>
      </c>
      <c r="N90" s="1">
        <v>44.0</v>
      </c>
      <c r="O90" s="1">
        <v>1.0</v>
      </c>
      <c r="P90" s="1">
        <v>21.0</v>
      </c>
      <c r="Q90" s="1">
        <v>6.0</v>
      </c>
      <c r="R90" s="1" t="s">
        <v>22</v>
      </c>
      <c r="S90" s="1">
        <v>1607.0</v>
      </c>
      <c r="T90" s="1">
        <v>281587.0</v>
      </c>
      <c r="U90" s="1">
        <v>19.0</v>
      </c>
    </row>
    <row r="91">
      <c r="A91" s="1" t="s">
        <v>141</v>
      </c>
      <c r="B91" s="1">
        <v>52684.0</v>
      </c>
      <c r="C91" s="1">
        <v>0.0</v>
      </c>
      <c r="D91" s="1">
        <v>112.0</v>
      </c>
      <c r="E91" s="1">
        <v>1.0</v>
      </c>
      <c r="F91" s="1">
        <v>89.0</v>
      </c>
      <c r="G91" s="1">
        <v>1.0</v>
      </c>
      <c r="H91" s="1" t="s">
        <v>22</v>
      </c>
      <c r="I91" s="16">
        <v>598.0</v>
      </c>
      <c r="J91" s="1">
        <v>380452.0</v>
      </c>
      <c r="K91" s="1">
        <v>15.0</v>
      </c>
      <c r="L91" s="1">
        <v>38082.0</v>
      </c>
      <c r="M91" s="1">
        <v>0.0</v>
      </c>
      <c r="N91" s="1">
        <v>24.0</v>
      </c>
      <c r="O91" s="1">
        <v>1.0</v>
      </c>
      <c r="P91" s="1">
        <v>1.0</v>
      </c>
      <c r="Q91" s="1">
        <v>1.0</v>
      </c>
      <c r="R91" s="1" t="s">
        <v>21</v>
      </c>
      <c r="S91" s="16"/>
    </row>
    <row r="92">
      <c r="A92" s="1" t="s">
        <v>142</v>
      </c>
      <c r="B92" s="1">
        <v>29231.0</v>
      </c>
      <c r="C92" s="1">
        <v>0.0</v>
      </c>
      <c r="D92" s="1">
        <v>24.0</v>
      </c>
      <c r="E92" s="1">
        <v>1.0</v>
      </c>
      <c r="F92" s="1">
        <v>2.0</v>
      </c>
      <c r="G92" s="1">
        <v>3.0</v>
      </c>
      <c r="H92" s="1" t="s">
        <v>22</v>
      </c>
      <c r="I92" s="16">
        <v>1484.0</v>
      </c>
      <c r="J92" s="1">
        <v>402485.0</v>
      </c>
      <c r="K92" s="1">
        <v>9.0</v>
      </c>
      <c r="L92" s="1">
        <v>29362.0</v>
      </c>
      <c r="M92" s="1">
        <v>0.0</v>
      </c>
      <c r="N92" s="1">
        <v>24.0</v>
      </c>
      <c r="O92" s="1">
        <v>1.0</v>
      </c>
      <c r="P92" s="1">
        <v>2.0</v>
      </c>
      <c r="Q92" s="1">
        <v>1.0</v>
      </c>
      <c r="R92" s="1" t="s">
        <v>22</v>
      </c>
      <c r="S92" s="16">
        <v>604.0</v>
      </c>
      <c r="T92" s="1">
        <v>200589.0</v>
      </c>
      <c r="U92" s="1">
        <v>9.0</v>
      </c>
    </row>
    <row r="93">
      <c r="A93" s="1" t="s">
        <v>143</v>
      </c>
      <c r="B93" s="1">
        <v>37683.0</v>
      </c>
      <c r="C93" s="1">
        <v>0.0</v>
      </c>
      <c r="D93" s="1">
        <v>77.0</v>
      </c>
      <c r="E93" s="1">
        <v>1.0</v>
      </c>
      <c r="F93" s="1">
        <v>57.0</v>
      </c>
      <c r="G93" s="1">
        <v>3.0</v>
      </c>
      <c r="H93" s="1" t="s">
        <v>22</v>
      </c>
      <c r="I93" s="16">
        <v>641.0</v>
      </c>
      <c r="J93" s="1">
        <v>343295.0</v>
      </c>
      <c r="K93" s="1">
        <v>13.0</v>
      </c>
      <c r="L93" s="1">
        <v>38859.0</v>
      </c>
      <c r="M93" s="1">
        <v>0.0</v>
      </c>
      <c r="N93" s="1">
        <v>51.0</v>
      </c>
      <c r="O93" s="1">
        <v>1.0</v>
      </c>
      <c r="P93" s="1">
        <v>31.0</v>
      </c>
      <c r="Q93" s="1">
        <v>4.0</v>
      </c>
      <c r="R93" s="1" t="s">
        <v>22</v>
      </c>
      <c r="S93" s="16">
        <v>1445.0</v>
      </c>
      <c r="T93" s="1">
        <v>187780.0</v>
      </c>
      <c r="U93" s="1">
        <v>8.0</v>
      </c>
    </row>
    <row r="94">
      <c r="A94" s="1" t="s">
        <v>144</v>
      </c>
      <c r="B94" s="1">
        <v>31321.0</v>
      </c>
      <c r="C94" s="1">
        <v>0.0</v>
      </c>
      <c r="D94" s="1">
        <v>30.0</v>
      </c>
      <c r="E94" s="1">
        <v>1.0</v>
      </c>
      <c r="F94" s="1">
        <v>7.0</v>
      </c>
      <c r="G94" s="1">
        <v>0.0</v>
      </c>
      <c r="H94" s="1" t="s">
        <v>22</v>
      </c>
      <c r="I94" s="16">
        <v>1824.0</v>
      </c>
      <c r="J94" s="1">
        <v>163714.0</v>
      </c>
      <c r="K94" s="1">
        <v>7.0</v>
      </c>
      <c r="L94" s="1">
        <v>32907.0</v>
      </c>
      <c r="M94" s="1">
        <v>0.0</v>
      </c>
      <c r="N94" s="1">
        <v>102.0</v>
      </c>
      <c r="O94" s="1">
        <v>1.0</v>
      </c>
      <c r="P94" s="1">
        <v>80.0</v>
      </c>
      <c r="Q94" s="1">
        <v>1.0</v>
      </c>
      <c r="R94" s="1" t="s">
        <v>22</v>
      </c>
      <c r="S94" s="16">
        <v>671.0</v>
      </c>
      <c r="T94" s="1">
        <v>203962.0</v>
      </c>
      <c r="U94" s="1">
        <v>8.0</v>
      </c>
    </row>
    <row r="95">
      <c r="A95" s="1" t="s">
        <v>145</v>
      </c>
      <c r="B95" s="1">
        <v>65044.0</v>
      </c>
      <c r="C95" s="1">
        <v>0.0</v>
      </c>
      <c r="D95" s="1">
        <v>24.0</v>
      </c>
      <c r="E95" s="1">
        <v>1.0</v>
      </c>
      <c r="F95" s="1">
        <v>1.0</v>
      </c>
      <c r="G95" s="1">
        <v>0.0</v>
      </c>
      <c r="H95" s="1" t="s">
        <v>22</v>
      </c>
      <c r="I95" s="16">
        <v>1241.0</v>
      </c>
      <c r="J95" s="1">
        <v>233084.0</v>
      </c>
      <c r="K95" s="1">
        <v>14.0</v>
      </c>
      <c r="L95" s="1">
        <v>78574.0</v>
      </c>
      <c r="M95" s="1">
        <v>0.0</v>
      </c>
      <c r="N95" s="1">
        <v>24.0</v>
      </c>
      <c r="O95" s="1">
        <v>1.0</v>
      </c>
      <c r="P95" s="1">
        <v>1.0</v>
      </c>
      <c r="Q95" s="1">
        <v>119.0</v>
      </c>
      <c r="R95" s="1" t="s">
        <v>22</v>
      </c>
      <c r="S95" s="7">
        <v>2082.0</v>
      </c>
      <c r="T95" s="1">
        <v>300385.0</v>
      </c>
      <c r="U95" s="1">
        <v>23.0</v>
      </c>
    </row>
    <row r="96">
      <c r="A96" s="1" t="s">
        <v>146</v>
      </c>
      <c r="B96" s="1">
        <v>51551.0</v>
      </c>
      <c r="C96" s="1">
        <v>0.0</v>
      </c>
      <c r="D96" s="1">
        <v>48.0</v>
      </c>
      <c r="E96" s="1">
        <v>1.0</v>
      </c>
      <c r="F96" s="1">
        <v>25.0</v>
      </c>
      <c r="G96" s="1">
        <v>4.0</v>
      </c>
      <c r="H96" s="1" t="s">
        <v>22</v>
      </c>
      <c r="I96" s="16">
        <v>871.0</v>
      </c>
      <c r="J96" s="1">
        <v>384178.0</v>
      </c>
      <c r="K96" s="1">
        <v>16.0</v>
      </c>
      <c r="L96" s="1">
        <v>27517.0</v>
      </c>
      <c r="M96" s="1">
        <v>0.0</v>
      </c>
      <c r="N96" s="1">
        <v>24.0</v>
      </c>
      <c r="O96" s="1">
        <v>1.0</v>
      </c>
      <c r="P96" s="1">
        <v>1.0</v>
      </c>
      <c r="Q96" s="1">
        <v>0.0</v>
      </c>
      <c r="R96" s="1" t="s">
        <v>22</v>
      </c>
      <c r="S96" s="16">
        <v>772.0</v>
      </c>
      <c r="T96" s="1">
        <v>273932.0</v>
      </c>
      <c r="U96" s="1">
        <v>9.0</v>
      </c>
    </row>
    <row r="97">
      <c r="A97" s="1" t="s">
        <v>147</v>
      </c>
      <c r="B97" s="1">
        <v>53787.0</v>
      </c>
      <c r="C97" s="1">
        <v>0.0</v>
      </c>
      <c r="D97" s="1">
        <v>25.0</v>
      </c>
      <c r="E97" s="1">
        <v>6.0</v>
      </c>
      <c r="F97" s="1">
        <v>6.0</v>
      </c>
      <c r="G97" s="1">
        <v>12.0</v>
      </c>
      <c r="H97" s="1" t="s">
        <v>22</v>
      </c>
      <c r="I97" s="16">
        <v>1393.0</v>
      </c>
      <c r="J97" s="1">
        <v>262415.0</v>
      </c>
      <c r="K97" s="1">
        <v>14.0</v>
      </c>
      <c r="L97" s="1">
        <v>60117.0</v>
      </c>
      <c r="M97" s="1">
        <v>0.0</v>
      </c>
      <c r="N97" s="1">
        <v>41.0</v>
      </c>
      <c r="O97" s="1">
        <v>1.0</v>
      </c>
      <c r="P97" s="1">
        <v>18.0</v>
      </c>
      <c r="Q97" s="1">
        <v>17.0</v>
      </c>
      <c r="R97" s="1" t="s">
        <v>22</v>
      </c>
      <c r="S97" s="16">
        <v>1099.0</v>
      </c>
      <c r="T97" s="1">
        <v>309361.0</v>
      </c>
      <c r="U97" s="1">
        <v>13.0</v>
      </c>
    </row>
    <row r="98">
      <c r="A98" s="1" t="s">
        <v>148</v>
      </c>
      <c r="B98" s="1">
        <v>49854.0</v>
      </c>
      <c r="C98" s="1">
        <v>0.0</v>
      </c>
      <c r="D98" s="1">
        <v>24.0</v>
      </c>
      <c r="E98" s="1">
        <v>1.0</v>
      </c>
      <c r="F98" s="1">
        <v>1.0</v>
      </c>
      <c r="G98" s="1">
        <v>1.0</v>
      </c>
      <c r="H98" s="1" t="s">
        <v>22</v>
      </c>
      <c r="I98" s="17"/>
      <c r="J98" s="1">
        <v>189649.0</v>
      </c>
      <c r="K98" s="1">
        <v>11.0</v>
      </c>
      <c r="L98" s="1">
        <v>45793.0</v>
      </c>
      <c r="M98" s="1">
        <v>0.0</v>
      </c>
      <c r="N98" s="1">
        <v>24.0</v>
      </c>
      <c r="O98" s="1">
        <v>1.0</v>
      </c>
      <c r="P98" s="1">
        <v>1.0</v>
      </c>
      <c r="Q98" s="1">
        <v>0.0</v>
      </c>
      <c r="R98" s="1" t="s">
        <v>22</v>
      </c>
      <c r="S98" s="16">
        <v>1253.0</v>
      </c>
      <c r="T98" s="1">
        <v>258286.0</v>
      </c>
      <c r="U98" s="1">
        <v>16.0</v>
      </c>
    </row>
    <row r="99">
      <c r="A99" s="1" t="s">
        <v>132</v>
      </c>
      <c r="B99" s="1">
        <v>49967.0</v>
      </c>
      <c r="C99" s="1">
        <v>0.0</v>
      </c>
      <c r="D99" s="1">
        <v>24.0</v>
      </c>
      <c r="E99" s="1">
        <v>106.0</v>
      </c>
      <c r="F99" s="1">
        <v>107.0</v>
      </c>
      <c r="G99" s="1">
        <v>1.0</v>
      </c>
      <c r="H99" s="1" t="s">
        <v>22</v>
      </c>
      <c r="I99" s="16">
        <v>1032.0</v>
      </c>
      <c r="J99" s="16"/>
      <c r="K99" s="16" t="str">
        <f>IF(A99=A297, C249, "")</f>
        <v/>
      </c>
      <c r="L99" s="1">
        <v>39523.0</v>
      </c>
      <c r="M99" s="1">
        <v>0.0</v>
      </c>
      <c r="N99" s="1">
        <v>24.0</v>
      </c>
      <c r="O99" s="1">
        <v>2.0</v>
      </c>
      <c r="P99" s="1">
        <v>2.0</v>
      </c>
      <c r="Q99" s="1">
        <v>1.0</v>
      </c>
      <c r="R99" s="1" t="s">
        <v>21</v>
      </c>
      <c r="S99" s="16"/>
    </row>
    <row r="100">
      <c r="A100" s="1" t="s">
        <v>149</v>
      </c>
      <c r="B100" s="1">
        <v>64858.0</v>
      </c>
      <c r="C100" s="1">
        <v>0.0</v>
      </c>
      <c r="D100" s="1">
        <v>24.0</v>
      </c>
      <c r="E100" s="1">
        <v>1.0</v>
      </c>
      <c r="F100" s="1">
        <v>1.0</v>
      </c>
      <c r="G100" s="1">
        <v>0.0</v>
      </c>
      <c r="H100" s="1" t="s">
        <v>22</v>
      </c>
      <c r="I100" s="17"/>
      <c r="J100" s="1">
        <v>119496.0</v>
      </c>
      <c r="K100" s="1">
        <v>18.0</v>
      </c>
      <c r="L100" s="1">
        <v>70521.0</v>
      </c>
      <c r="M100" s="1">
        <v>0.0</v>
      </c>
      <c r="N100" s="1">
        <v>24.0</v>
      </c>
      <c r="O100" s="1">
        <v>1.0</v>
      </c>
      <c r="P100" s="1">
        <v>1.0</v>
      </c>
      <c r="Q100" s="1">
        <v>1.0</v>
      </c>
      <c r="R100" s="1" t="s">
        <v>22</v>
      </c>
      <c r="S100" s="16">
        <v>1071.0</v>
      </c>
      <c r="T100" s="1">
        <v>140500.0</v>
      </c>
      <c r="U100" s="1">
        <v>14.0</v>
      </c>
    </row>
    <row r="101">
      <c r="A101" s="1" t="s">
        <v>150</v>
      </c>
      <c r="B101" s="1">
        <v>52678.0</v>
      </c>
      <c r="C101" s="1">
        <v>0.0</v>
      </c>
      <c r="D101" s="1">
        <v>24.0</v>
      </c>
      <c r="E101" s="1">
        <v>2.0</v>
      </c>
      <c r="F101" s="1">
        <v>2.0</v>
      </c>
      <c r="G101" s="1">
        <v>0.0</v>
      </c>
      <c r="H101" s="1" t="s">
        <v>22</v>
      </c>
      <c r="I101" s="16">
        <v>1186.0</v>
      </c>
      <c r="J101" s="1">
        <v>389738.0</v>
      </c>
      <c r="K101" s="1">
        <v>15.0</v>
      </c>
      <c r="L101" s="1">
        <v>52915.0</v>
      </c>
      <c r="M101" s="1">
        <v>0.0</v>
      </c>
      <c r="N101" s="1">
        <v>24.0</v>
      </c>
      <c r="O101" s="1">
        <v>1.0</v>
      </c>
      <c r="P101" s="1">
        <v>2.0</v>
      </c>
      <c r="Q101" s="1">
        <v>1.0</v>
      </c>
      <c r="R101" s="1" t="s">
        <v>22</v>
      </c>
      <c r="S101" s="1">
        <v>1176.0</v>
      </c>
      <c r="T101" s="1">
        <v>339854.0</v>
      </c>
      <c r="U101" s="1">
        <v>10.0</v>
      </c>
    </row>
    <row r="102">
      <c r="A102" s="1" t="s">
        <v>151</v>
      </c>
      <c r="B102" s="1">
        <v>33775.0</v>
      </c>
      <c r="C102" s="1">
        <v>0.0</v>
      </c>
      <c r="D102" s="1">
        <v>24.0</v>
      </c>
      <c r="E102" s="1">
        <v>1.0</v>
      </c>
      <c r="F102" s="1">
        <v>1.0</v>
      </c>
      <c r="G102" s="1">
        <v>0.0</v>
      </c>
      <c r="H102" s="1" t="s">
        <v>22</v>
      </c>
      <c r="I102" s="16">
        <v>758.0</v>
      </c>
      <c r="J102" s="1">
        <v>233670.0</v>
      </c>
      <c r="K102" s="1">
        <v>13.0</v>
      </c>
      <c r="L102" s="1">
        <v>32602.0</v>
      </c>
      <c r="M102" s="1">
        <v>0.0</v>
      </c>
      <c r="N102" s="1">
        <v>27.0</v>
      </c>
      <c r="O102" s="1">
        <v>1.0</v>
      </c>
      <c r="P102" s="1">
        <v>4.0</v>
      </c>
      <c r="Q102" s="1">
        <v>2.0</v>
      </c>
      <c r="R102" s="1" t="s">
        <v>22</v>
      </c>
      <c r="S102" s="1">
        <v>744.0</v>
      </c>
      <c r="T102" s="1">
        <v>309626.0</v>
      </c>
      <c r="U102" s="1">
        <v>7.0</v>
      </c>
    </row>
    <row r="103">
      <c r="A103" s="1" t="s">
        <v>152</v>
      </c>
      <c r="B103" s="1">
        <v>47457.0</v>
      </c>
      <c r="C103" s="1">
        <v>0.0</v>
      </c>
      <c r="D103" s="1">
        <v>28.0</v>
      </c>
      <c r="E103" s="1">
        <v>3.0</v>
      </c>
      <c r="F103" s="1">
        <v>7.0</v>
      </c>
      <c r="G103" s="1">
        <v>0.0</v>
      </c>
      <c r="H103" s="1" t="s">
        <v>22</v>
      </c>
      <c r="I103" s="16">
        <v>1147.0</v>
      </c>
      <c r="J103" s="1">
        <v>223882.0</v>
      </c>
      <c r="K103" s="1">
        <v>11.0</v>
      </c>
      <c r="L103" s="1">
        <v>50416.0</v>
      </c>
      <c r="M103" s="1">
        <v>0.0</v>
      </c>
      <c r="N103" s="1">
        <v>47.0</v>
      </c>
      <c r="O103" s="1">
        <v>9.0</v>
      </c>
      <c r="P103" s="1">
        <v>32.0</v>
      </c>
      <c r="Q103" s="1">
        <v>0.0</v>
      </c>
      <c r="R103" s="1" t="s">
        <v>22</v>
      </c>
      <c r="S103" s="1">
        <v>1076.0</v>
      </c>
      <c r="T103" s="1">
        <v>294972.0</v>
      </c>
      <c r="U103" s="1">
        <v>13.0</v>
      </c>
    </row>
    <row r="104">
      <c r="A104" s="1" t="s">
        <v>155</v>
      </c>
      <c r="B104" s="13" t="s">
        <v>83</v>
      </c>
      <c r="L104" s="13" t="s">
        <v>84</v>
      </c>
    </row>
    <row r="105">
      <c r="A105" s="1" t="s">
        <v>86</v>
      </c>
      <c r="B105" s="1" t="s">
        <v>87</v>
      </c>
      <c r="C105" s="1" t="s">
        <v>88</v>
      </c>
      <c r="D105" s="1" t="s">
        <v>89</v>
      </c>
      <c r="E105" s="1" t="s">
        <v>90</v>
      </c>
      <c r="F105" s="1" t="s">
        <v>91</v>
      </c>
      <c r="G105" s="1" t="s">
        <v>92</v>
      </c>
      <c r="H105" s="1" t="s">
        <v>3</v>
      </c>
      <c r="I105" s="1" t="s">
        <v>4</v>
      </c>
      <c r="J105" s="1" t="s">
        <v>93</v>
      </c>
      <c r="K105" s="1" t="s">
        <v>94</v>
      </c>
      <c r="L105" s="1" t="s">
        <v>95</v>
      </c>
      <c r="M105" s="1" t="s">
        <v>88</v>
      </c>
      <c r="N105" s="1" t="s">
        <v>89</v>
      </c>
      <c r="O105" s="1" t="s">
        <v>90</v>
      </c>
      <c r="P105" s="1" t="s">
        <v>91</v>
      </c>
      <c r="Q105" s="1" t="s">
        <v>92</v>
      </c>
      <c r="R105" s="1" t="s">
        <v>3</v>
      </c>
      <c r="S105" s="1" t="s">
        <v>4</v>
      </c>
      <c r="T105" s="1" t="s">
        <v>96</v>
      </c>
      <c r="U105" s="1" t="s">
        <v>94</v>
      </c>
    </row>
    <row r="106">
      <c r="A106" s="1" t="s">
        <v>97</v>
      </c>
      <c r="B106" s="1">
        <v>31598.0</v>
      </c>
      <c r="C106" s="1">
        <v>0.0</v>
      </c>
      <c r="D106" s="1">
        <v>0.0</v>
      </c>
      <c r="E106" s="1">
        <v>0.0</v>
      </c>
      <c r="F106" s="1">
        <v>0.0</v>
      </c>
      <c r="G106" s="1">
        <v>3.0</v>
      </c>
      <c r="H106" s="1" t="s">
        <v>21</v>
      </c>
      <c r="I106" s="1"/>
      <c r="J106" s="1"/>
      <c r="K106" s="16" t="str">
        <f>IF(A106=A304, C256, "")</f>
        <v/>
      </c>
      <c r="L106" s="1">
        <v>33598.0</v>
      </c>
      <c r="M106" s="1">
        <v>0.0</v>
      </c>
      <c r="N106" s="1">
        <v>24.0</v>
      </c>
      <c r="O106" s="1">
        <v>2.0</v>
      </c>
      <c r="P106" s="1">
        <v>4.0</v>
      </c>
      <c r="Q106" s="1">
        <v>0.0</v>
      </c>
      <c r="R106" s="1" t="s">
        <v>22</v>
      </c>
      <c r="S106" s="1"/>
      <c r="T106" s="1"/>
      <c r="U106" s="1"/>
    </row>
    <row r="107">
      <c r="A107" s="1" t="s">
        <v>98</v>
      </c>
      <c r="B107" s="1">
        <v>10061.0</v>
      </c>
      <c r="C107" s="1">
        <v>0.0</v>
      </c>
      <c r="D107" s="1">
        <v>25.0</v>
      </c>
      <c r="E107" s="1">
        <v>1.0</v>
      </c>
      <c r="F107" s="1">
        <v>2.0</v>
      </c>
      <c r="G107" s="1">
        <v>0.0</v>
      </c>
      <c r="H107" s="1" t="s">
        <v>21</v>
      </c>
      <c r="I107" s="1"/>
      <c r="J107" s="1"/>
      <c r="K107" s="16" t="str">
        <f t="shared" ref="K107:K122" si="2">IF(A107=A305, B305, "")</f>
        <v/>
      </c>
      <c r="L107" s="1">
        <v>31102.0</v>
      </c>
      <c r="M107" s="1">
        <v>0.0</v>
      </c>
      <c r="N107" s="1">
        <v>25.0</v>
      </c>
      <c r="O107" s="1">
        <v>1.0</v>
      </c>
      <c r="P107" s="1">
        <v>3.0</v>
      </c>
      <c r="Q107" s="1">
        <v>0.0</v>
      </c>
      <c r="R107" s="1" t="s">
        <v>21</v>
      </c>
      <c r="S107" s="1"/>
      <c r="T107" s="1"/>
      <c r="U107" s="1"/>
    </row>
    <row r="108">
      <c r="A108" s="1" t="s">
        <v>156</v>
      </c>
      <c r="B108" s="1">
        <v>49785.0</v>
      </c>
      <c r="C108" s="1">
        <v>0.0</v>
      </c>
      <c r="D108" s="1">
        <v>125.0</v>
      </c>
      <c r="E108" s="1">
        <v>1.0</v>
      </c>
      <c r="F108" s="1">
        <v>103.0</v>
      </c>
      <c r="G108" s="1">
        <v>0.0</v>
      </c>
      <c r="H108" s="1" t="s">
        <v>22</v>
      </c>
      <c r="I108" s="1"/>
      <c r="J108" s="1"/>
      <c r="K108" s="16" t="str">
        <f t="shared" si="2"/>
        <v/>
      </c>
      <c r="L108" s="1">
        <v>41999.0</v>
      </c>
      <c r="M108" s="1">
        <v>0.0</v>
      </c>
      <c r="N108" s="1">
        <v>28.0</v>
      </c>
      <c r="O108" s="1">
        <v>3.0</v>
      </c>
      <c r="P108" s="1">
        <v>5.0</v>
      </c>
      <c r="Q108" s="1">
        <v>0.0</v>
      </c>
      <c r="R108" s="1" t="s">
        <v>22</v>
      </c>
      <c r="S108" s="1"/>
      <c r="T108" s="1"/>
      <c r="U108" s="1"/>
    </row>
    <row r="109">
      <c r="A109" s="1" t="s">
        <v>157</v>
      </c>
      <c r="B109" s="1">
        <v>34911.0</v>
      </c>
      <c r="C109" s="1">
        <v>0.0</v>
      </c>
      <c r="D109" s="1">
        <v>289.0</v>
      </c>
      <c r="E109" s="1">
        <v>3.0</v>
      </c>
      <c r="F109" s="1">
        <v>5.0</v>
      </c>
      <c r="G109" s="1">
        <v>0.0</v>
      </c>
      <c r="H109" s="1" t="s">
        <v>22</v>
      </c>
      <c r="I109" s="1"/>
      <c r="J109" s="1"/>
      <c r="K109" s="16" t="str">
        <f t="shared" si="2"/>
        <v/>
      </c>
      <c r="L109" s="1">
        <v>6111.0</v>
      </c>
      <c r="M109" s="1">
        <v>0.0</v>
      </c>
      <c r="N109" s="1">
        <v>24.0</v>
      </c>
      <c r="O109" s="1">
        <v>1.0</v>
      </c>
      <c r="P109" s="1">
        <v>1.0</v>
      </c>
      <c r="Q109" s="1">
        <v>29.0</v>
      </c>
      <c r="R109" s="1" t="s">
        <v>21</v>
      </c>
      <c r="S109" s="1"/>
      <c r="T109" s="1"/>
      <c r="U109" s="1"/>
    </row>
    <row r="110">
      <c r="A110" s="1" t="s">
        <v>158</v>
      </c>
      <c r="B110" s="1">
        <v>29075.0</v>
      </c>
      <c r="C110" s="1">
        <v>52.0</v>
      </c>
      <c r="D110" s="1">
        <v>500.0</v>
      </c>
      <c r="E110" s="1">
        <v>38.0</v>
      </c>
      <c r="F110" s="1">
        <v>149.0</v>
      </c>
      <c r="G110" s="1">
        <v>1.0</v>
      </c>
      <c r="H110" s="1" t="s">
        <v>22</v>
      </c>
      <c r="I110" s="1"/>
      <c r="J110" s="1"/>
      <c r="K110" s="16" t="str">
        <f t="shared" si="2"/>
        <v/>
      </c>
      <c r="L110" s="1">
        <v>32250.0</v>
      </c>
      <c r="M110" s="1">
        <v>0.0</v>
      </c>
      <c r="N110" s="1">
        <v>25.0</v>
      </c>
      <c r="O110" s="1">
        <v>1.0</v>
      </c>
      <c r="P110" s="1">
        <v>2.0</v>
      </c>
      <c r="Q110" s="1">
        <v>69.0</v>
      </c>
      <c r="R110" s="1" t="s">
        <v>21</v>
      </c>
      <c r="S110" s="1"/>
      <c r="T110" s="1"/>
      <c r="U110" s="1"/>
    </row>
    <row r="111">
      <c r="A111" s="1" t="s">
        <v>159</v>
      </c>
      <c r="B111" s="1">
        <v>36916.0</v>
      </c>
      <c r="C111" s="1">
        <v>2.0</v>
      </c>
      <c r="D111" s="1">
        <v>31.0</v>
      </c>
      <c r="E111" s="1">
        <v>1.0</v>
      </c>
      <c r="F111" s="1">
        <v>12.0</v>
      </c>
      <c r="G111" s="1">
        <v>72.0</v>
      </c>
      <c r="H111" s="1" t="s">
        <v>22</v>
      </c>
      <c r="I111" s="1"/>
      <c r="J111" s="1"/>
      <c r="K111" s="16" t="str">
        <f t="shared" si="2"/>
        <v/>
      </c>
      <c r="L111" s="1">
        <v>47151.0</v>
      </c>
      <c r="M111" s="1">
        <v>0.0</v>
      </c>
      <c r="N111" s="1">
        <v>24.0</v>
      </c>
      <c r="O111" s="1">
        <v>1.0</v>
      </c>
      <c r="P111" s="1">
        <v>1.0</v>
      </c>
      <c r="Q111" s="1">
        <v>8.0</v>
      </c>
      <c r="R111" s="1" t="s">
        <v>21</v>
      </c>
      <c r="S111" s="1"/>
      <c r="T111" s="1"/>
      <c r="U111" s="1"/>
    </row>
    <row r="112">
      <c r="A112" s="1" t="s">
        <v>99</v>
      </c>
      <c r="B112" s="1">
        <v>28161.0</v>
      </c>
      <c r="C112" s="1">
        <v>0.0</v>
      </c>
      <c r="D112" s="1">
        <v>24.0</v>
      </c>
      <c r="E112" s="1">
        <v>2.0</v>
      </c>
      <c r="F112" s="1">
        <v>4.0</v>
      </c>
      <c r="G112" s="1">
        <v>0.0</v>
      </c>
      <c r="H112" s="1" t="s">
        <v>22</v>
      </c>
      <c r="I112" s="1"/>
      <c r="J112" s="1"/>
      <c r="K112" s="16" t="str">
        <f t="shared" si="2"/>
        <v/>
      </c>
      <c r="L112" s="1">
        <v>14008.0</v>
      </c>
      <c r="M112" s="1">
        <v>0.0</v>
      </c>
      <c r="N112" s="1">
        <v>26.0</v>
      </c>
      <c r="O112" s="1">
        <v>1.0</v>
      </c>
      <c r="P112" s="1">
        <v>5.0</v>
      </c>
      <c r="Q112" s="1">
        <v>3.0</v>
      </c>
      <c r="R112" s="1" t="s">
        <v>21</v>
      </c>
      <c r="S112" s="1"/>
      <c r="T112" s="1"/>
      <c r="U112" s="1"/>
    </row>
    <row r="113">
      <c r="A113" s="1" t="s">
        <v>160</v>
      </c>
      <c r="B113" s="1">
        <v>39365.0</v>
      </c>
      <c r="C113" s="1">
        <v>32.0</v>
      </c>
      <c r="D113" s="1">
        <v>31.0</v>
      </c>
      <c r="E113" s="1">
        <v>1.0</v>
      </c>
      <c r="F113" s="1">
        <v>40.0</v>
      </c>
      <c r="G113" s="1">
        <v>56.0</v>
      </c>
      <c r="H113" s="1" t="s">
        <v>21</v>
      </c>
      <c r="I113" s="1"/>
      <c r="J113" s="1"/>
      <c r="K113" s="16" t="str">
        <f t="shared" si="2"/>
        <v/>
      </c>
      <c r="L113" s="1">
        <v>3975.0</v>
      </c>
      <c r="M113" s="1">
        <v>0.0</v>
      </c>
      <c r="N113" s="1">
        <v>24.0</v>
      </c>
      <c r="O113" s="1">
        <v>2.0</v>
      </c>
      <c r="P113" s="1">
        <v>4.0</v>
      </c>
      <c r="Q113" s="1">
        <v>0.0</v>
      </c>
      <c r="R113" s="1" t="s">
        <v>22</v>
      </c>
      <c r="S113" s="1"/>
      <c r="T113" s="1"/>
      <c r="U113" s="1"/>
    </row>
    <row r="114">
      <c r="A114" s="1" t="s">
        <v>100</v>
      </c>
      <c r="B114" s="1">
        <v>32018.0</v>
      </c>
      <c r="C114" s="1">
        <v>0.0</v>
      </c>
      <c r="D114" s="1">
        <v>24.0</v>
      </c>
      <c r="E114" s="1">
        <v>1.0</v>
      </c>
      <c r="F114" s="1">
        <v>1.0</v>
      </c>
      <c r="G114" s="1">
        <v>0.0</v>
      </c>
      <c r="H114" s="1" t="s">
        <v>21</v>
      </c>
      <c r="I114" s="1"/>
      <c r="J114" s="1"/>
      <c r="K114" s="16" t="str">
        <f t="shared" si="2"/>
        <v/>
      </c>
      <c r="L114" s="1">
        <v>4886.0</v>
      </c>
      <c r="M114" s="1">
        <v>0.0</v>
      </c>
      <c r="N114" s="1">
        <v>24.0</v>
      </c>
      <c r="O114" s="1">
        <v>1.0</v>
      </c>
      <c r="P114" s="1">
        <v>1.0</v>
      </c>
      <c r="Q114" s="1">
        <v>0.0</v>
      </c>
      <c r="R114" s="1" t="s">
        <v>22</v>
      </c>
      <c r="S114" s="1">
        <v>85.0</v>
      </c>
      <c r="T114" s="1">
        <v>106091.0</v>
      </c>
      <c r="U114" s="1">
        <v>2.0</v>
      </c>
    </row>
    <row r="115">
      <c r="A115" s="1" t="s">
        <v>102</v>
      </c>
      <c r="B115" s="1">
        <v>31093.0</v>
      </c>
      <c r="C115" s="1">
        <v>0.0</v>
      </c>
      <c r="D115" s="1">
        <v>24.0</v>
      </c>
      <c r="E115" s="1">
        <v>2.0</v>
      </c>
      <c r="F115" s="1">
        <v>4.0</v>
      </c>
      <c r="G115" s="1">
        <v>0.0</v>
      </c>
      <c r="H115" s="1" t="s">
        <v>22</v>
      </c>
      <c r="I115" s="1"/>
      <c r="J115" s="1"/>
      <c r="K115" s="16" t="str">
        <f t="shared" si="2"/>
        <v/>
      </c>
      <c r="L115" s="1">
        <v>41574.0</v>
      </c>
      <c r="M115" s="1">
        <v>0.0</v>
      </c>
      <c r="N115" s="1">
        <v>28.0</v>
      </c>
      <c r="O115" s="1">
        <v>3.0</v>
      </c>
      <c r="P115" s="1">
        <v>5.0</v>
      </c>
      <c r="Q115" s="1">
        <v>0.0</v>
      </c>
      <c r="R115" s="1" t="s">
        <v>22</v>
      </c>
      <c r="S115" s="1"/>
      <c r="T115" s="1"/>
      <c r="U115" s="1"/>
    </row>
    <row r="116">
      <c r="A116" s="1" t="s">
        <v>154</v>
      </c>
      <c r="B116" s="1">
        <v>32724.0</v>
      </c>
      <c r="C116" s="1">
        <v>0.0</v>
      </c>
      <c r="D116" s="1">
        <v>28.0</v>
      </c>
      <c r="E116" s="1">
        <v>2.0</v>
      </c>
      <c r="F116" s="1">
        <v>2.0</v>
      </c>
      <c r="G116" s="1">
        <v>0.0</v>
      </c>
      <c r="H116" s="1" t="s">
        <v>21</v>
      </c>
      <c r="I116" s="1"/>
      <c r="J116" s="1"/>
      <c r="K116" s="16" t="str">
        <f t="shared" si="2"/>
        <v/>
      </c>
      <c r="L116" s="1">
        <v>32510.0</v>
      </c>
      <c r="M116" s="1">
        <v>0.0</v>
      </c>
      <c r="N116" s="1">
        <v>24.0</v>
      </c>
      <c r="O116" s="1">
        <v>2.0</v>
      </c>
      <c r="P116" s="1">
        <v>4.0</v>
      </c>
      <c r="Q116" s="1">
        <v>0.0</v>
      </c>
      <c r="R116" s="1" t="s">
        <v>22</v>
      </c>
      <c r="S116" s="1"/>
      <c r="T116" s="1"/>
      <c r="U116" s="1"/>
    </row>
    <row r="117">
      <c r="A117" s="1" t="s">
        <v>104</v>
      </c>
      <c r="B117" s="1">
        <v>23271.0</v>
      </c>
      <c r="C117" s="1">
        <v>0.0</v>
      </c>
      <c r="D117" s="1">
        <v>27.0</v>
      </c>
      <c r="E117" s="1">
        <v>2.0</v>
      </c>
      <c r="F117" s="1">
        <v>4.0</v>
      </c>
      <c r="G117" s="1">
        <v>0.0</v>
      </c>
      <c r="H117" s="1" t="s">
        <v>22</v>
      </c>
      <c r="I117" s="1"/>
      <c r="J117" s="1"/>
      <c r="K117" s="16" t="str">
        <f t="shared" si="2"/>
        <v/>
      </c>
      <c r="L117" s="1">
        <v>33516.0</v>
      </c>
      <c r="M117" s="1">
        <v>0.0</v>
      </c>
      <c r="N117" s="1">
        <v>24.0</v>
      </c>
      <c r="O117" s="1">
        <v>2.0</v>
      </c>
      <c r="P117" s="1">
        <v>4.0</v>
      </c>
      <c r="Q117" s="1">
        <v>0.0</v>
      </c>
      <c r="R117" s="1" t="s">
        <v>22</v>
      </c>
      <c r="S117" s="1"/>
      <c r="T117" s="1"/>
      <c r="U117" s="1"/>
    </row>
    <row r="118">
      <c r="A118" s="1" t="s">
        <v>106</v>
      </c>
      <c r="B118" s="1">
        <v>40273.0</v>
      </c>
      <c r="C118" s="1">
        <v>7.0</v>
      </c>
      <c r="D118" s="1">
        <v>42.0</v>
      </c>
      <c r="E118" s="1">
        <v>2.0</v>
      </c>
      <c r="F118" s="1">
        <v>23.0</v>
      </c>
      <c r="G118" s="1">
        <v>0.0</v>
      </c>
      <c r="H118" s="1" t="s">
        <v>21</v>
      </c>
      <c r="I118" s="1"/>
      <c r="J118" s="1"/>
      <c r="K118" s="16" t="str">
        <f t="shared" si="2"/>
        <v/>
      </c>
      <c r="L118" s="1">
        <v>36273.0</v>
      </c>
      <c r="M118" s="1">
        <v>0.0</v>
      </c>
      <c r="N118" s="1">
        <v>24.0</v>
      </c>
      <c r="O118" s="1">
        <v>1.0</v>
      </c>
      <c r="P118" s="1">
        <v>1.0</v>
      </c>
      <c r="Q118" s="1">
        <v>21.0</v>
      </c>
      <c r="R118" s="1" t="s">
        <v>21</v>
      </c>
      <c r="S118" s="1">
        <v>611.0</v>
      </c>
      <c r="T118" s="1">
        <v>66709.0</v>
      </c>
      <c r="U118" s="1">
        <v>3.0</v>
      </c>
    </row>
    <row r="119">
      <c r="A119" s="1" t="s">
        <v>108</v>
      </c>
      <c r="B119" s="1">
        <v>60055.0</v>
      </c>
      <c r="C119" s="1">
        <v>0.0</v>
      </c>
      <c r="D119" s="1">
        <v>25.0</v>
      </c>
      <c r="E119" s="1">
        <v>1.0</v>
      </c>
      <c r="F119" s="1">
        <v>2.0</v>
      </c>
      <c r="G119" s="1">
        <v>61.0</v>
      </c>
      <c r="H119" s="1" t="s">
        <v>21</v>
      </c>
      <c r="I119" s="1"/>
      <c r="J119" s="1"/>
      <c r="K119" s="16" t="str">
        <f t="shared" si="2"/>
        <v/>
      </c>
      <c r="L119" s="1">
        <v>38572.0</v>
      </c>
      <c r="M119" s="1">
        <v>0.0</v>
      </c>
      <c r="N119" s="1">
        <v>29.0</v>
      </c>
      <c r="O119" s="1">
        <v>2.0</v>
      </c>
      <c r="P119" s="1">
        <v>9.0</v>
      </c>
      <c r="Q119" s="1">
        <v>31.0</v>
      </c>
      <c r="R119" s="1" t="s">
        <v>22</v>
      </c>
      <c r="S119" s="1"/>
      <c r="T119" s="1"/>
      <c r="U119" s="1"/>
    </row>
    <row r="120">
      <c r="A120" s="1" t="s">
        <v>110</v>
      </c>
      <c r="B120" s="1">
        <v>37753.0</v>
      </c>
      <c r="C120" s="1">
        <v>48.0</v>
      </c>
      <c r="D120" s="1">
        <v>83.0</v>
      </c>
      <c r="E120" s="1">
        <v>1.0</v>
      </c>
      <c r="F120" s="1">
        <v>113.0</v>
      </c>
      <c r="G120" s="1">
        <v>1.0</v>
      </c>
      <c r="H120" s="1" t="s">
        <v>22</v>
      </c>
      <c r="I120" s="1"/>
      <c r="J120" s="1"/>
      <c r="K120" s="16" t="str">
        <f t="shared" si="2"/>
        <v/>
      </c>
      <c r="L120" s="1">
        <v>36811.0</v>
      </c>
      <c r="M120" s="1">
        <v>0.0</v>
      </c>
      <c r="N120" s="1">
        <v>24.0</v>
      </c>
      <c r="O120" s="1">
        <v>2.0</v>
      </c>
      <c r="P120" s="1">
        <v>4.0</v>
      </c>
      <c r="Q120" s="1">
        <v>0.0</v>
      </c>
      <c r="R120" s="1" t="s">
        <v>22</v>
      </c>
      <c r="S120" s="1"/>
      <c r="T120" s="1"/>
      <c r="U120" s="1"/>
    </row>
    <row r="121">
      <c r="A121" s="1" t="s">
        <v>113</v>
      </c>
      <c r="B121" s="1">
        <v>41185.0</v>
      </c>
      <c r="C121" s="1">
        <v>122.0</v>
      </c>
      <c r="D121" s="1">
        <v>31.0</v>
      </c>
      <c r="E121" s="1">
        <v>1.0</v>
      </c>
      <c r="F121" s="1">
        <v>131.0</v>
      </c>
      <c r="G121" s="1">
        <v>9.0</v>
      </c>
      <c r="H121" s="1" t="s">
        <v>22</v>
      </c>
      <c r="I121" s="1"/>
      <c r="J121" s="1"/>
      <c r="K121" s="16" t="str">
        <f t="shared" si="2"/>
        <v/>
      </c>
      <c r="L121" s="1">
        <v>28371.0</v>
      </c>
      <c r="M121" s="1">
        <v>48.0</v>
      </c>
      <c r="N121" s="1">
        <v>76.0</v>
      </c>
      <c r="O121" s="1">
        <v>36.0</v>
      </c>
      <c r="P121" s="1">
        <v>137.0</v>
      </c>
      <c r="Q121" s="1">
        <v>44.0</v>
      </c>
      <c r="R121" s="1" t="s">
        <v>22</v>
      </c>
      <c r="S121" s="1"/>
      <c r="T121" s="1"/>
      <c r="U121" s="1"/>
    </row>
    <row r="122">
      <c r="A122" s="1" t="s">
        <v>115</v>
      </c>
      <c r="B122" s="1">
        <v>34691.0</v>
      </c>
      <c r="C122" s="1">
        <v>0.0</v>
      </c>
      <c r="D122" s="1">
        <v>27.0</v>
      </c>
      <c r="E122" s="1">
        <v>2.0</v>
      </c>
      <c r="F122" s="1">
        <v>4.0</v>
      </c>
      <c r="G122" s="1">
        <v>0.0</v>
      </c>
      <c r="H122" s="1" t="s">
        <v>22</v>
      </c>
      <c r="I122" s="1"/>
      <c r="J122" s="1"/>
      <c r="K122" s="16" t="str">
        <f t="shared" si="2"/>
        <v/>
      </c>
      <c r="L122" s="1">
        <v>21543.0</v>
      </c>
      <c r="M122" s="1">
        <v>0.0</v>
      </c>
      <c r="N122" s="1">
        <v>28.0</v>
      </c>
      <c r="O122" s="1">
        <v>3.0</v>
      </c>
      <c r="P122" s="1">
        <v>5.0</v>
      </c>
      <c r="Q122" s="1">
        <v>0.0</v>
      </c>
      <c r="R122" s="1" t="s">
        <v>22</v>
      </c>
      <c r="S122" s="1"/>
      <c r="T122" s="1"/>
      <c r="U122" s="1"/>
    </row>
    <row r="123">
      <c r="A123" s="1" t="s">
        <v>111</v>
      </c>
      <c r="B123" s="1">
        <v>52729.0</v>
      </c>
      <c r="C123" s="1">
        <v>0.0</v>
      </c>
      <c r="D123" s="1">
        <v>24.0</v>
      </c>
      <c r="E123" s="1">
        <v>1.0</v>
      </c>
      <c r="F123" s="1">
        <v>1.0</v>
      </c>
      <c r="G123" s="1">
        <v>124.0</v>
      </c>
      <c r="H123" s="1" t="s">
        <v>22</v>
      </c>
      <c r="I123" s="1">
        <v>1243.0</v>
      </c>
      <c r="J123" s="1">
        <v>71763.0</v>
      </c>
      <c r="K123" s="1">
        <v>5.0</v>
      </c>
      <c r="L123" s="1">
        <v>35969.0</v>
      </c>
      <c r="M123" s="1">
        <v>0.0</v>
      </c>
      <c r="N123" s="1">
        <v>24.0</v>
      </c>
      <c r="O123" s="1">
        <v>1.0</v>
      </c>
      <c r="P123" s="1">
        <v>1.0</v>
      </c>
      <c r="Q123" s="1">
        <v>0.0</v>
      </c>
      <c r="R123" s="1" t="s">
        <v>22</v>
      </c>
      <c r="S123" s="1">
        <v>985.0</v>
      </c>
      <c r="T123" s="1">
        <v>322787.0</v>
      </c>
      <c r="U123" s="1">
        <v>11.0</v>
      </c>
    </row>
    <row r="124">
      <c r="A124" s="1" t="s">
        <v>114</v>
      </c>
      <c r="B124" s="1">
        <v>32891.0</v>
      </c>
      <c r="C124" s="1">
        <v>0.0</v>
      </c>
      <c r="D124" s="1">
        <v>193.0</v>
      </c>
      <c r="E124" s="1">
        <v>3.0</v>
      </c>
      <c r="F124" s="1">
        <v>6.0</v>
      </c>
      <c r="G124" s="1">
        <v>43.0</v>
      </c>
      <c r="H124" s="1" t="s">
        <v>21</v>
      </c>
      <c r="I124" s="1"/>
      <c r="J124" s="1"/>
      <c r="K124" s="16" t="str">
        <f t="shared" ref="K124:K128" si="3">IF(A124=A322, B322, "")</f>
        <v/>
      </c>
      <c r="L124" s="1">
        <v>34550.0</v>
      </c>
      <c r="M124" s="1">
        <v>0.0</v>
      </c>
      <c r="N124" s="1">
        <v>239.0</v>
      </c>
      <c r="O124" s="1">
        <v>3.0</v>
      </c>
      <c r="P124" s="1">
        <v>6.0</v>
      </c>
      <c r="Q124" s="1">
        <v>53.0</v>
      </c>
      <c r="R124" s="1" t="s">
        <v>21</v>
      </c>
      <c r="S124" s="1"/>
      <c r="T124" s="1"/>
      <c r="U124" s="1"/>
    </row>
    <row r="125">
      <c r="A125" s="1" t="s">
        <v>116</v>
      </c>
      <c r="B125" s="1">
        <v>44830.0</v>
      </c>
      <c r="C125" s="1">
        <v>309.0</v>
      </c>
      <c r="D125" s="1">
        <v>37.0</v>
      </c>
      <c r="E125" s="1">
        <v>1.0</v>
      </c>
      <c r="F125" s="1">
        <v>323.0</v>
      </c>
      <c r="G125" s="1">
        <v>55.0</v>
      </c>
      <c r="H125" s="1" t="s">
        <v>21</v>
      </c>
      <c r="I125" s="1"/>
      <c r="J125" s="1"/>
      <c r="K125" s="16" t="str">
        <f t="shared" si="3"/>
        <v/>
      </c>
      <c r="L125" s="1">
        <v>45779.0</v>
      </c>
      <c r="M125" s="1">
        <v>0.0</v>
      </c>
      <c r="N125" s="1">
        <v>25.0</v>
      </c>
      <c r="O125" s="1">
        <v>1.0</v>
      </c>
      <c r="P125" s="1">
        <v>2.0</v>
      </c>
      <c r="Q125" s="1">
        <v>40.0</v>
      </c>
      <c r="R125" s="1" t="s">
        <v>21</v>
      </c>
      <c r="S125" s="1"/>
      <c r="T125" s="1"/>
      <c r="U125" s="1"/>
    </row>
    <row r="126">
      <c r="A126" s="1" t="s">
        <v>117</v>
      </c>
      <c r="B126" s="1">
        <v>37208.0</v>
      </c>
      <c r="C126" s="1">
        <v>0.0</v>
      </c>
      <c r="D126" s="1">
        <v>92.0</v>
      </c>
      <c r="E126" s="1">
        <v>4.0</v>
      </c>
      <c r="F126" s="1">
        <v>8.0</v>
      </c>
      <c r="G126" s="1">
        <v>0.0</v>
      </c>
      <c r="H126" s="1" t="s">
        <v>22</v>
      </c>
      <c r="I126" s="1"/>
      <c r="J126" s="1"/>
      <c r="K126" s="16" t="str">
        <f t="shared" si="3"/>
        <v/>
      </c>
      <c r="L126" s="1">
        <v>3722.0</v>
      </c>
      <c r="M126" s="1">
        <v>0.0</v>
      </c>
      <c r="N126" s="1">
        <v>24.0</v>
      </c>
      <c r="O126" s="1">
        <v>1.0</v>
      </c>
      <c r="P126" s="1">
        <v>1.0</v>
      </c>
      <c r="Q126" s="1">
        <v>0.0</v>
      </c>
      <c r="R126" s="1" t="s">
        <v>21</v>
      </c>
      <c r="S126" s="1">
        <v>67.0</v>
      </c>
      <c r="T126" s="1">
        <v>163729.0</v>
      </c>
      <c r="U126" s="1">
        <v>2.0</v>
      </c>
    </row>
    <row r="127">
      <c r="A127" s="1" t="s">
        <v>118</v>
      </c>
      <c r="B127" s="1">
        <v>18911.0</v>
      </c>
      <c r="C127" s="1">
        <v>0.0</v>
      </c>
      <c r="D127" s="1">
        <v>27.0</v>
      </c>
      <c r="E127" s="1">
        <v>2.0</v>
      </c>
      <c r="F127" s="1">
        <v>4.0</v>
      </c>
      <c r="G127" s="1">
        <v>0.0</v>
      </c>
      <c r="H127" s="1" t="s">
        <v>22</v>
      </c>
      <c r="I127" s="1"/>
      <c r="J127" s="1"/>
      <c r="K127" s="16" t="str">
        <f t="shared" si="3"/>
        <v/>
      </c>
      <c r="L127" s="1">
        <v>32655.0</v>
      </c>
      <c r="M127" s="1">
        <v>0.0</v>
      </c>
      <c r="N127" s="1">
        <v>24.0</v>
      </c>
      <c r="O127" s="1">
        <v>1.0</v>
      </c>
      <c r="P127" s="1">
        <v>1.0</v>
      </c>
      <c r="Q127" s="1">
        <v>40.0</v>
      </c>
      <c r="R127" s="1" t="s">
        <v>21</v>
      </c>
      <c r="S127" s="1"/>
      <c r="T127" s="1"/>
      <c r="U127" s="1"/>
    </row>
    <row r="128">
      <c r="A128" s="1" t="s">
        <v>119</v>
      </c>
      <c r="B128" s="1">
        <v>52250.0</v>
      </c>
      <c r="C128" s="1">
        <v>0.0</v>
      </c>
      <c r="D128" s="1">
        <v>24.0</v>
      </c>
      <c r="E128" s="1">
        <v>2.0</v>
      </c>
      <c r="F128" s="1">
        <v>2.0</v>
      </c>
      <c r="G128" s="1">
        <v>21.0</v>
      </c>
      <c r="H128" s="1" t="s">
        <v>21</v>
      </c>
      <c r="I128" s="1"/>
      <c r="J128" s="1"/>
      <c r="K128" s="16" t="str">
        <f t="shared" si="3"/>
        <v/>
      </c>
      <c r="L128" s="1">
        <v>35378.0</v>
      </c>
      <c r="M128" s="1">
        <v>0.0</v>
      </c>
      <c r="N128" s="1">
        <v>27.0</v>
      </c>
      <c r="O128" s="1">
        <v>1.0</v>
      </c>
      <c r="P128" s="1">
        <v>1.0</v>
      </c>
      <c r="Q128" s="1">
        <v>21.0</v>
      </c>
      <c r="R128" s="1" t="s">
        <v>21</v>
      </c>
      <c r="S128" s="1"/>
      <c r="T128" s="1"/>
      <c r="U128" s="1"/>
    </row>
    <row r="129">
      <c r="A129" s="1" t="s">
        <v>120</v>
      </c>
      <c r="B129" s="1">
        <v>3734.0</v>
      </c>
      <c r="C129" s="1">
        <v>0.0</v>
      </c>
      <c r="D129" s="1">
        <v>24.0</v>
      </c>
      <c r="E129" s="1">
        <v>1.0</v>
      </c>
      <c r="F129" s="1">
        <v>2.0</v>
      </c>
      <c r="G129" s="1">
        <v>0.0</v>
      </c>
      <c r="H129" s="1" t="s">
        <v>22</v>
      </c>
      <c r="I129" s="1">
        <v>1082.0</v>
      </c>
      <c r="J129" s="1">
        <v>125651.0</v>
      </c>
      <c r="K129" s="1">
        <v>2.0</v>
      </c>
      <c r="L129" s="1">
        <v>36184.0</v>
      </c>
      <c r="M129" s="1">
        <v>0.0</v>
      </c>
      <c r="N129" s="1">
        <v>24.0</v>
      </c>
      <c r="O129" s="1">
        <v>2.0</v>
      </c>
      <c r="P129" s="1">
        <v>4.0</v>
      </c>
      <c r="Q129" s="1">
        <v>0.0</v>
      </c>
      <c r="R129" s="1" t="s">
        <v>22</v>
      </c>
      <c r="S129" s="1"/>
      <c r="T129" s="1"/>
      <c r="U129" s="1"/>
    </row>
    <row r="130">
      <c r="A130" s="1" t="s">
        <v>121</v>
      </c>
      <c r="B130" s="1">
        <v>10079.0</v>
      </c>
      <c r="C130" s="1">
        <v>0.0</v>
      </c>
      <c r="D130" s="1">
        <v>122.0</v>
      </c>
      <c r="E130" s="1">
        <v>1.0</v>
      </c>
      <c r="F130" s="1">
        <v>102.0</v>
      </c>
      <c r="G130" s="1">
        <v>0.0</v>
      </c>
      <c r="H130" s="1" t="s">
        <v>22</v>
      </c>
      <c r="I130" s="1"/>
      <c r="J130" s="1"/>
      <c r="K130" s="16" t="str">
        <f t="shared" ref="K130:K141" si="4">IF(A130=A328, B328, "")</f>
        <v/>
      </c>
      <c r="L130" s="1">
        <v>34308.0</v>
      </c>
      <c r="M130" s="1">
        <v>0.0</v>
      </c>
      <c r="N130" s="1">
        <v>129.0</v>
      </c>
      <c r="O130" s="1">
        <v>2.0</v>
      </c>
      <c r="P130" s="1">
        <v>104.0</v>
      </c>
      <c r="Q130" s="1">
        <v>0.0</v>
      </c>
      <c r="R130" s="1" t="s">
        <v>22</v>
      </c>
      <c r="S130" s="1"/>
      <c r="T130" s="1"/>
      <c r="U130" s="1"/>
    </row>
    <row r="131">
      <c r="A131" s="1" t="s">
        <v>122</v>
      </c>
      <c r="B131" s="1">
        <v>28069.0</v>
      </c>
      <c r="C131" s="1">
        <v>1.0</v>
      </c>
      <c r="D131" s="1">
        <v>27.0</v>
      </c>
      <c r="E131" s="1">
        <v>1.0</v>
      </c>
      <c r="F131" s="1">
        <v>2.0</v>
      </c>
      <c r="G131" s="1">
        <v>44.0</v>
      </c>
      <c r="H131" s="1" t="s">
        <v>21</v>
      </c>
      <c r="I131" s="1"/>
      <c r="J131" s="1"/>
      <c r="K131" s="16" t="str">
        <f t="shared" si="4"/>
        <v/>
      </c>
      <c r="L131" s="1">
        <v>4509.0</v>
      </c>
      <c r="M131" s="1">
        <v>10.0</v>
      </c>
      <c r="N131" s="1">
        <v>29.0</v>
      </c>
      <c r="O131" s="1">
        <v>1.0</v>
      </c>
      <c r="P131" s="1">
        <v>16.0</v>
      </c>
      <c r="Q131" s="1">
        <v>0.0</v>
      </c>
      <c r="R131" s="1" t="s">
        <v>22</v>
      </c>
      <c r="S131" s="1"/>
      <c r="T131" s="1"/>
      <c r="U131" s="1"/>
    </row>
    <row r="132">
      <c r="A132" s="1" t="s">
        <v>123</v>
      </c>
      <c r="B132" s="1">
        <v>37108.0</v>
      </c>
      <c r="C132" s="1">
        <v>12.0</v>
      </c>
      <c r="D132" s="1">
        <v>321.0</v>
      </c>
      <c r="E132" s="1">
        <v>2.0</v>
      </c>
      <c r="F132" s="1">
        <v>22.0</v>
      </c>
      <c r="G132" s="1">
        <v>95.0</v>
      </c>
      <c r="H132" s="1" t="s">
        <v>22</v>
      </c>
      <c r="I132" s="1"/>
      <c r="J132" s="1"/>
      <c r="K132" s="16" t="str">
        <f t="shared" si="4"/>
        <v/>
      </c>
      <c r="L132" s="1">
        <v>33989.0</v>
      </c>
      <c r="M132" s="1">
        <v>0.0</v>
      </c>
      <c r="N132" s="1">
        <v>24.0</v>
      </c>
      <c r="O132" s="1">
        <v>2.0</v>
      </c>
      <c r="P132" s="1">
        <v>4.0</v>
      </c>
      <c r="Q132" s="1">
        <v>0.0</v>
      </c>
      <c r="R132" s="1" t="s">
        <v>22</v>
      </c>
      <c r="S132" s="1"/>
      <c r="T132" s="1"/>
      <c r="U132" s="1"/>
    </row>
    <row r="133">
      <c r="A133" s="1" t="s">
        <v>124</v>
      </c>
      <c r="B133" s="1">
        <v>30284.0</v>
      </c>
      <c r="C133" s="1">
        <v>0.0</v>
      </c>
      <c r="D133" s="1">
        <v>24.0</v>
      </c>
      <c r="E133" s="1">
        <v>1.0</v>
      </c>
      <c r="F133" s="1">
        <v>1.0</v>
      </c>
      <c r="G133" s="1">
        <v>29.0</v>
      </c>
      <c r="H133" s="1" t="s">
        <v>21</v>
      </c>
      <c r="I133" s="1"/>
      <c r="J133" s="1"/>
      <c r="K133" s="16" t="str">
        <f t="shared" si="4"/>
        <v/>
      </c>
      <c r="L133" s="1">
        <v>42615.0</v>
      </c>
      <c r="M133" s="1">
        <v>0.0</v>
      </c>
      <c r="N133" s="1">
        <v>24.0</v>
      </c>
      <c r="O133" s="1">
        <v>1.0</v>
      </c>
      <c r="P133" s="1">
        <v>1.0</v>
      </c>
      <c r="Q133" s="1">
        <v>8.0</v>
      </c>
      <c r="R133" s="1" t="s">
        <v>21</v>
      </c>
      <c r="S133" s="1"/>
      <c r="T133" s="1"/>
      <c r="U133" s="1"/>
    </row>
    <row r="134">
      <c r="A134" s="1" t="s">
        <v>125</v>
      </c>
      <c r="B134" s="1">
        <v>33851.0</v>
      </c>
      <c r="C134" s="1">
        <v>0.0</v>
      </c>
      <c r="D134" s="1">
        <v>25.0</v>
      </c>
      <c r="E134" s="1">
        <v>2.0</v>
      </c>
      <c r="F134" s="1">
        <v>5.0</v>
      </c>
      <c r="G134" s="1">
        <v>0.0</v>
      </c>
      <c r="H134" s="1" t="s">
        <v>22</v>
      </c>
      <c r="I134" s="1"/>
      <c r="J134" s="1"/>
      <c r="K134" s="16" t="str">
        <f t="shared" si="4"/>
        <v/>
      </c>
      <c r="L134" s="1">
        <v>36075.0</v>
      </c>
      <c r="M134" s="1">
        <v>0.0</v>
      </c>
      <c r="N134" s="1">
        <v>301.0</v>
      </c>
      <c r="O134" s="1">
        <v>3.0</v>
      </c>
      <c r="P134" s="1">
        <v>4.0</v>
      </c>
      <c r="Q134" s="1">
        <v>48.0</v>
      </c>
      <c r="R134" s="1" t="s">
        <v>21</v>
      </c>
      <c r="S134" s="1"/>
      <c r="T134" s="1"/>
      <c r="U134" s="1"/>
    </row>
    <row r="135">
      <c r="A135" s="1" t="s">
        <v>126</v>
      </c>
      <c r="B135" s="1">
        <v>41562.0</v>
      </c>
      <c r="C135" s="1">
        <v>0.0</v>
      </c>
      <c r="D135" s="1">
        <v>24.0</v>
      </c>
      <c r="E135" s="1">
        <v>1.0</v>
      </c>
      <c r="F135" s="1">
        <v>1.0</v>
      </c>
      <c r="G135" s="1">
        <v>45.0</v>
      </c>
      <c r="H135" s="1" t="s">
        <v>21</v>
      </c>
      <c r="I135" s="1"/>
      <c r="J135" s="1"/>
      <c r="K135" s="16" t="str">
        <f t="shared" si="4"/>
        <v/>
      </c>
      <c r="L135" s="1">
        <v>33487.0</v>
      </c>
      <c r="M135" s="1">
        <v>0.0</v>
      </c>
      <c r="N135" s="1">
        <v>24.0</v>
      </c>
      <c r="O135" s="1">
        <v>1.0</v>
      </c>
      <c r="P135" s="1">
        <v>1.0</v>
      </c>
      <c r="Q135" s="1">
        <v>0.0</v>
      </c>
      <c r="R135" s="1" t="s">
        <v>22</v>
      </c>
      <c r="S135" s="1"/>
      <c r="T135" s="1"/>
      <c r="U135" s="1"/>
    </row>
    <row r="136">
      <c r="A136" s="1" t="s">
        <v>127</v>
      </c>
      <c r="B136" s="1">
        <v>42982.0</v>
      </c>
      <c r="C136" s="1">
        <v>0.0</v>
      </c>
      <c r="D136" s="1">
        <v>28.0</v>
      </c>
      <c r="E136" s="1">
        <v>3.0</v>
      </c>
      <c r="F136" s="1">
        <v>5.0</v>
      </c>
      <c r="G136" s="1">
        <v>0.0</v>
      </c>
      <c r="H136" s="1" t="s">
        <v>22</v>
      </c>
      <c r="I136" s="1"/>
      <c r="J136" s="1"/>
      <c r="K136" s="16" t="str">
        <f t="shared" si="4"/>
        <v/>
      </c>
      <c r="L136" s="1">
        <v>34338.0</v>
      </c>
      <c r="M136" s="1">
        <v>0.0</v>
      </c>
      <c r="N136" s="1">
        <v>26.0</v>
      </c>
      <c r="O136" s="1">
        <v>1.0</v>
      </c>
      <c r="P136" s="1">
        <v>3.0</v>
      </c>
      <c r="Q136" s="1">
        <v>6.0</v>
      </c>
      <c r="R136" s="1" t="s">
        <v>21</v>
      </c>
      <c r="S136" s="1"/>
      <c r="T136" s="1"/>
      <c r="U136" s="1"/>
    </row>
    <row r="137">
      <c r="A137" s="1" t="s">
        <v>128</v>
      </c>
      <c r="B137" s="1">
        <v>29331.0</v>
      </c>
      <c r="C137" s="1">
        <v>0.0</v>
      </c>
      <c r="D137" s="1">
        <v>24.0</v>
      </c>
      <c r="E137" s="1">
        <v>1.0</v>
      </c>
      <c r="F137" s="1">
        <v>1.0</v>
      </c>
      <c r="G137" s="1">
        <v>0.0</v>
      </c>
      <c r="H137" s="1" t="s">
        <v>21</v>
      </c>
      <c r="I137" s="1"/>
      <c r="J137" s="1"/>
      <c r="K137" s="16" t="str">
        <f t="shared" si="4"/>
        <v/>
      </c>
      <c r="L137" s="1">
        <v>4068.0</v>
      </c>
      <c r="M137" s="1">
        <v>0.0</v>
      </c>
      <c r="N137" s="1">
        <v>24.0</v>
      </c>
      <c r="O137" s="1">
        <v>1.0</v>
      </c>
      <c r="P137" s="1">
        <v>1.0</v>
      </c>
      <c r="Q137" s="1">
        <v>0.0</v>
      </c>
      <c r="R137" s="1" t="s">
        <v>21</v>
      </c>
      <c r="S137" s="1"/>
      <c r="T137" s="1"/>
      <c r="U137" s="1"/>
    </row>
    <row r="138">
      <c r="A138" s="1" t="s">
        <v>129</v>
      </c>
      <c r="B138" s="1">
        <v>45760.0</v>
      </c>
      <c r="C138" s="1">
        <v>0.0</v>
      </c>
      <c r="D138" s="1">
        <v>25.0</v>
      </c>
      <c r="E138" s="1">
        <v>1.0</v>
      </c>
      <c r="F138" s="1">
        <v>4.0</v>
      </c>
      <c r="G138" s="1">
        <v>33.0</v>
      </c>
      <c r="H138" s="1" t="s">
        <v>22</v>
      </c>
      <c r="I138" s="1"/>
      <c r="J138" s="1"/>
      <c r="K138" s="16" t="str">
        <f t="shared" si="4"/>
        <v/>
      </c>
      <c r="L138" s="1">
        <v>33682.0</v>
      </c>
      <c r="M138" s="1">
        <v>0.0</v>
      </c>
      <c r="N138" s="1">
        <v>28.0</v>
      </c>
      <c r="O138" s="1">
        <v>3.0</v>
      </c>
      <c r="P138" s="1">
        <v>5.0</v>
      </c>
      <c r="Q138" s="1">
        <v>0.0</v>
      </c>
      <c r="R138" s="1" t="s">
        <v>22</v>
      </c>
      <c r="S138" s="1"/>
      <c r="T138" s="1"/>
      <c r="U138" s="1"/>
    </row>
    <row r="139">
      <c r="A139" s="1" t="s">
        <v>130</v>
      </c>
      <c r="B139" s="1">
        <v>27011.0</v>
      </c>
      <c r="C139" s="1">
        <v>0.0</v>
      </c>
      <c r="D139" s="1">
        <v>24.0</v>
      </c>
      <c r="E139" s="1">
        <v>1.0</v>
      </c>
      <c r="F139" s="1">
        <v>1.0</v>
      </c>
      <c r="G139" s="1">
        <v>18.0</v>
      </c>
      <c r="H139" s="1" t="s">
        <v>21</v>
      </c>
      <c r="I139" s="1"/>
      <c r="J139" s="1"/>
      <c r="K139" s="16" t="str">
        <f t="shared" si="4"/>
        <v/>
      </c>
      <c r="L139" s="1">
        <v>38243.0</v>
      </c>
      <c r="M139" s="1">
        <v>0.0</v>
      </c>
      <c r="N139" s="1">
        <v>28.0</v>
      </c>
      <c r="O139" s="1">
        <v>3.0</v>
      </c>
      <c r="P139" s="1">
        <v>5.0</v>
      </c>
      <c r="Q139" s="1">
        <v>0.0</v>
      </c>
      <c r="R139" s="1" t="s">
        <v>22</v>
      </c>
      <c r="S139" s="1"/>
      <c r="T139" s="1"/>
      <c r="U139" s="1"/>
    </row>
    <row r="140">
      <c r="A140" s="1" t="s">
        <v>131</v>
      </c>
      <c r="B140" s="1">
        <v>31788.0</v>
      </c>
      <c r="C140" s="1">
        <v>2.0</v>
      </c>
      <c r="D140" s="1">
        <v>898.0</v>
      </c>
      <c r="E140" s="1">
        <v>6.0</v>
      </c>
      <c r="F140" s="1">
        <v>17.0</v>
      </c>
      <c r="G140" s="1">
        <v>58.0</v>
      </c>
      <c r="H140" s="1" t="s">
        <v>21</v>
      </c>
      <c r="I140" s="1"/>
      <c r="J140" s="1"/>
      <c r="K140" s="16" t="str">
        <f t="shared" si="4"/>
        <v/>
      </c>
      <c r="L140" s="1">
        <v>33063.0</v>
      </c>
      <c r="M140" s="1">
        <v>0.0</v>
      </c>
      <c r="N140" s="1">
        <v>25.0</v>
      </c>
      <c r="O140" s="1">
        <v>2.0</v>
      </c>
      <c r="P140" s="1">
        <v>5.0</v>
      </c>
      <c r="Q140" s="1">
        <v>0.0</v>
      </c>
      <c r="R140" s="1" t="s">
        <v>22</v>
      </c>
      <c r="S140" s="1"/>
      <c r="T140" s="1"/>
      <c r="U140" s="1"/>
    </row>
    <row r="141">
      <c r="A141" s="1" t="s">
        <v>139</v>
      </c>
      <c r="B141" s="1">
        <v>32664.0</v>
      </c>
      <c r="C141" s="1">
        <v>86.0</v>
      </c>
      <c r="D141" s="1">
        <v>73.0</v>
      </c>
      <c r="E141" s="1">
        <v>1.0</v>
      </c>
      <c r="F141" s="1">
        <v>138.0</v>
      </c>
      <c r="G141" s="1">
        <v>48.0</v>
      </c>
      <c r="H141" s="1" t="s">
        <v>21</v>
      </c>
      <c r="I141" s="1"/>
      <c r="J141" s="1"/>
      <c r="K141" s="16" t="str">
        <f t="shared" si="4"/>
        <v/>
      </c>
      <c r="L141" s="1">
        <v>27359.0</v>
      </c>
      <c r="M141" s="1">
        <v>60.0</v>
      </c>
      <c r="N141" s="1">
        <v>73.0</v>
      </c>
      <c r="O141" s="1">
        <v>1.0</v>
      </c>
      <c r="P141" s="1">
        <v>116.0</v>
      </c>
      <c r="Q141" s="1">
        <v>6.0</v>
      </c>
      <c r="R141" s="1" t="s">
        <v>21</v>
      </c>
      <c r="S141" s="1"/>
      <c r="T141" s="1"/>
      <c r="U141" s="1"/>
    </row>
    <row r="142">
      <c r="A142" s="1" t="s">
        <v>140</v>
      </c>
      <c r="B142" s="1">
        <v>3591.0</v>
      </c>
      <c r="C142" s="1">
        <v>0.0</v>
      </c>
      <c r="D142" s="1">
        <v>24.0</v>
      </c>
      <c r="E142" s="1">
        <v>2.0</v>
      </c>
      <c r="F142" s="1">
        <v>2.0</v>
      </c>
      <c r="G142" s="1">
        <v>0.0</v>
      </c>
      <c r="H142" s="1" t="s">
        <v>22</v>
      </c>
      <c r="I142" s="1">
        <v>921.0</v>
      </c>
      <c r="J142" s="1">
        <v>67398.0</v>
      </c>
      <c r="K142" s="1">
        <v>2.0</v>
      </c>
      <c r="L142" s="1">
        <v>3485.0</v>
      </c>
      <c r="M142" s="1">
        <v>49.0</v>
      </c>
      <c r="N142" s="1">
        <v>78.0</v>
      </c>
      <c r="O142" s="1">
        <v>1.0</v>
      </c>
      <c r="P142" s="1">
        <v>105.0</v>
      </c>
      <c r="Q142" s="1">
        <v>0.0</v>
      </c>
      <c r="R142" s="1" t="s">
        <v>22</v>
      </c>
      <c r="S142" s="1"/>
      <c r="T142" s="1"/>
      <c r="U142" s="1"/>
    </row>
    <row r="143">
      <c r="A143" s="1" t="s">
        <v>141</v>
      </c>
      <c r="B143" s="1">
        <v>35066.0</v>
      </c>
      <c r="C143" s="1">
        <v>0.0</v>
      </c>
      <c r="D143" s="1">
        <v>25.0</v>
      </c>
      <c r="E143" s="1">
        <v>2.0</v>
      </c>
      <c r="F143" s="1">
        <v>5.0</v>
      </c>
      <c r="G143" s="1">
        <v>0.0</v>
      </c>
      <c r="H143" s="1" t="s">
        <v>22</v>
      </c>
      <c r="I143" s="1"/>
      <c r="J143" s="1"/>
      <c r="K143" s="16" t="str">
        <f t="shared" ref="K143:K146" si="5">IF(A143=A341, B341, "")</f>
        <v/>
      </c>
      <c r="L143" s="1">
        <v>25456.0</v>
      </c>
      <c r="M143" s="1">
        <v>0.0</v>
      </c>
      <c r="N143" s="1">
        <v>27.0</v>
      </c>
      <c r="O143" s="1">
        <v>1.0</v>
      </c>
      <c r="P143" s="1">
        <v>1.0</v>
      </c>
      <c r="Q143" s="1">
        <v>26.0</v>
      </c>
      <c r="R143" s="1" t="s">
        <v>21</v>
      </c>
      <c r="S143" s="1"/>
      <c r="T143" s="1"/>
      <c r="U143" s="1"/>
    </row>
    <row r="144">
      <c r="A144" s="1" t="s">
        <v>142</v>
      </c>
      <c r="B144" s="1">
        <v>31084.0</v>
      </c>
      <c r="C144" s="1">
        <v>0.0</v>
      </c>
      <c r="D144" s="1">
        <v>24.0</v>
      </c>
      <c r="E144" s="1">
        <v>1.0</v>
      </c>
      <c r="F144" s="1">
        <v>1.0</v>
      </c>
      <c r="G144" s="1">
        <v>34.0</v>
      </c>
      <c r="H144" s="1" t="s">
        <v>21</v>
      </c>
      <c r="I144" s="1"/>
      <c r="J144" s="1"/>
      <c r="K144" s="16" t="str">
        <f t="shared" si="5"/>
        <v/>
      </c>
      <c r="L144" s="1">
        <v>29112.0</v>
      </c>
      <c r="M144" s="1">
        <v>0.0</v>
      </c>
      <c r="N144" s="1">
        <v>24.0</v>
      </c>
      <c r="O144" s="1">
        <v>1.0</v>
      </c>
      <c r="P144" s="1">
        <v>33.0</v>
      </c>
      <c r="Q144" s="1">
        <v>34.0</v>
      </c>
      <c r="R144" s="1" t="s">
        <v>21</v>
      </c>
      <c r="S144" s="1"/>
      <c r="T144" s="1"/>
      <c r="U144" s="1"/>
    </row>
    <row r="145">
      <c r="A145" s="1" t="s">
        <v>143</v>
      </c>
      <c r="B145" s="1">
        <v>12609.0</v>
      </c>
      <c r="C145" s="1">
        <v>0.0</v>
      </c>
      <c r="D145" s="1">
        <v>24.0</v>
      </c>
      <c r="E145" s="1">
        <v>2.0</v>
      </c>
      <c r="F145" s="1">
        <v>4.0</v>
      </c>
      <c r="G145" s="1">
        <v>0.0</v>
      </c>
      <c r="H145" s="1" t="s">
        <v>22</v>
      </c>
      <c r="I145" s="1"/>
      <c r="J145" s="1"/>
      <c r="K145" s="16" t="str">
        <f t="shared" si="5"/>
        <v/>
      </c>
      <c r="L145" s="1">
        <v>38859.0</v>
      </c>
      <c r="M145" s="1">
        <v>0.0</v>
      </c>
      <c r="N145" s="1">
        <v>51.0</v>
      </c>
      <c r="O145" s="1">
        <v>1.0</v>
      </c>
      <c r="P145" s="1">
        <v>31.0</v>
      </c>
      <c r="Q145" s="1">
        <v>4.0</v>
      </c>
      <c r="R145" s="1" t="s">
        <v>22</v>
      </c>
      <c r="S145" s="1">
        <v>1445.0</v>
      </c>
      <c r="T145" s="1">
        <v>187780.0</v>
      </c>
      <c r="U145" s="1">
        <v>8.0</v>
      </c>
    </row>
    <row r="146">
      <c r="A146" s="1" t="s">
        <v>144</v>
      </c>
      <c r="B146" s="1">
        <v>11800.0</v>
      </c>
      <c r="C146" s="1">
        <v>23.0</v>
      </c>
      <c r="D146" s="1">
        <v>33.0</v>
      </c>
      <c r="E146" s="1">
        <v>1.0</v>
      </c>
      <c r="F146" s="1">
        <v>35.0</v>
      </c>
      <c r="G146" s="1">
        <v>0.0</v>
      </c>
      <c r="H146" s="1" t="s">
        <v>22</v>
      </c>
      <c r="I146" s="1"/>
      <c r="J146" s="1"/>
      <c r="K146" s="16" t="str">
        <f t="shared" si="5"/>
        <v/>
      </c>
      <c r="L146" s="1">
        <v>34617.0</v>
      </c>
      <c r="M146" s="1">
        <v>2.0</v>
      </c>
      <c r="N146" s="1">
        <v>77.0</v>
      </c>
      <c r="O146" s="1">
        <v>2.0</v>
      </c>
      <c r="P146" s="1">
        <v>9.0</v>
      </c>
      <c r="Q146" s="1">
        <v>1.0</v>
      </c>
      <c r="R146" s="1" t="s">
        <v>22</v>
      </c>
      <c r="S146" s="1"/>
    </row>
    <row r="147">
      <c r="A147" s="1" t="s">
        <v>145</v>
      </c>
      <c r="B147" s="1">
        <v>32248.0</v>
      </c>
      <c r="C147" s="1">
        <v>0.0</v>
      </c>
      <c r="D147" s="1">
        <v>26.0</v>
      </c>
      <c r="E147" s="1">
        <v>1.0</v>
      </c>
      <c r="F147" s="1">
        <v>3.0</v>
      </c>
      <c r="G147" s="1">
        <v>0.0</v>
      </c>
      <c r="H147" s="1" t="s">
        <v>22</v>
      </c>
      <c r="I147" s="16">
        <v>1574.0</v>
      </c>
      <c r="J147" s="1">
        <v>136986.0</v>
      </c>
      <c r="K147" s="1">
        <v>9.0</v>
      </c>
      <c r="L147" s="1">
        <v>12237.0</v>
      </c>
      <c r="M147" s="1">
        <v>0.0</v>
      </c>
      <c r="N147" s="1">
        <v>24.0</v>
      </c>
      <c r="O147" s="1">
        <v>1.0</v>
      </c>
      <c r="P147" s="1">
        <v>3.0</v>
      </c>
      <c r="Q147" s="1">
        <v>2.0</v>
      </c>
      <c r="R147" s="1" t="s">
        <v>22</v>
      </c>
      <c r="S147" s="1">
        <v>1090.0</v>
      </c>
      <c r="T147" s="1">
        <v>92743.0</v>
      </c>
      <c r="U147" s="1">
        <v>4.0</v>
      </c>
    </row>
    <row r="148">
      <c r="A148" s="1" t="s">
        <v>146</v>
      </c>
      <c r="B148" s="1">
        <v>8580.0</v>
      </c>
      <c r="C148" s="1">
        <v>2.0</v>
      </c>
      <c r="D148" s="1">
        <v>31.0</v>
      </c>
      <c r="E148" s="1">
        <v>1.0</v>
      </c>
      <c r="F148" s="1">
        <v>10.0</v>
      </c>
      <c r="G148" s="1">
        <v>0.0</v>
      </c>
      <c r="H148" s="1" t="s">
        <v>22</v>
      </c>
      <c r="I148" s="16">
        <v>1366.0</v>
      </c>
      <c r="J148" s="1">
        <v>185572.0</v>
      </c>
      <c r="K148" s="1">
        <v>4.0</v>
      </c>
      <c r="L148" s="1">
        <v>29017.0</v>
      </c>
      <c r="M148" s="1">
        <v>0.0</v>
      </c>
      <c r="N148" s="1">
        <v>30.0</v>
      </c>
      <c r="O148" s="1">
        <v>2.0</v>
      </c>
      <c r="P148" s="1">
        <v>8.0</v>
      </c>
      <c r="Q148" s="1">
        <v>26.0</v>
      </c>
      <c r="R148" s="1" t="s">
        <v>21</v>
      </c>
      <c r="S148" s="1"/>
    </row>
    <row r="149">
      <c r="A149" s="1" t="s">
        <v>147</v>
      </c>
      <c r="B149" s="1">
        <v>15259.0</v>
      </c>
      <c r="C149" s="1">
        <v>0.0</v>
      </c>
      <c r="D149" s="1">
        <v>122.0</v>
      </c>
      <c r="E149" s="1">
        <v>1.0</v>
      </c>
      <c r="F149" s="1">
        <v>102.0</v>
      </c>
      <c r="G149" s="1">
        <v>0.0</v>
      </c>
      <c r="H149" s="1" t="s">
        <v>22</v>
      </c>
      <c r="I149" s="16">
        <v>902.0</v>
      </c>
      <c r="J149" s="16"/>
      <c r="K149" s="16" t="str">
        <f>IF(A149=A347, B347, "")</f>
        <v/>
      </c>
      <c r="L149" s="1">
        <v>35564.0</v>
      </c>
      <c r="M149" s="1">
        <v>0.0</v>
      </c>
      <c r="N149" s="1">
        <v>24.0</v>
      </c>
      <c r="O149" s="1">
        <v>2.0</v>
      </c>
      <c r="P149" s="1">
        <v>4.0</v>
      </c>
      <c r="Q149" s="1">
        <v>0.0</v>
      </c>
      <c r="R149" s="1" t="s">
        <v>22</v>
      </c>
      <c r="S149" s="1"/>
    </row>
    <row r="150">
      <c r="A150" s="1" t="s">
        <v>148</v>
      </c>
      <c r="B150" s="1">
        <v>30259.0</v>
      </c>
      <c r="C150" s="1">
        <v>1.0</v>
      </c>
      <c r="D150" s="1">
        <v>25.0</v>
      </c>
      <c r="E150" s="1">
        <v>1.0</v>
      </c>
      <c r="F150" s="1">
        <v>3.0</v>
      </c>
      <c r="G150" s="1">
        <v>0.0</v>
      </c>
      <c r="H150" s="1" t="s">
        <v>22</v>
      </c>
      <c r="I150" s="16">
        <v>1119.0</v>
      </c>
      <c r="J150" s="1">
        <v>81299.0</v>
      </c>
      <c r="K150" s="1">
        <v>8.0</v>
      </c>
      <c r="L150" s="1">
        <v>40801.0</v>
      </c>
      <c r="M150" s="1">
        <v>2.0</v>
      </c>
      <c r="N150" s="1">
        <v>41.0</v>
      </c>
      <c r="O150" s="1">
        <v>1.0</v>
      </c>
      <c r="P150" s="1">
        <v>18.0</v>
      </c>
      <c r="Q150" s="1">
        <v>1.0</v>
      </c>
      <c r="R150" s="1" t="s">
        <v>22</v>
      </c>
      <c r="S150" s="1">
        <v>1215.0</v>
      </c>
      <c r="T150" s="1">
        <v>282978.0</v>
      </c>
      <c r="U150" s="1">
        <v>12.0</v>
      </c>
    </row>
    <row r="151">
      <c r="A151" s="1" t="s">
        <v>132</v>
      </c>
      <c r="B151" s="1">
        <v>36474.0</v>
      </c>
      <c r="C151" s="1">
        <v>0.0</v>
      </c>
      <c r="D151" s="1">
        <v>28.0</v>
      </c>
      <c r="E151" s="1">
        <v>14.0</v>
      </c>
      <c r="F151" s="1">
        <v>18.0</v>
      </c>
      <c r="G151" s="1">
        <v>1.0</v>
      </c>
      <c r="H151" s="1" t="s">
        <v>21</v>
      </c>
      <c r="I151" s="1"/>
      <c r="J151" s="1"/>
      <c r="K151" s="16" t="str">
        <f t="shared" ref="K151:K152" si="6">IF(A151=A349, B349, "")</f>
        <v/>
      </c>
      <c r="L151" s="1">
        <v>43062.0</v>
      </c>
      <c r="M151" s="1">
        <v>0.0</v>
      </c>
      <c r="N151" s="1">
        <v>24.0</v>
      </c>
      <c r="O151" s="1">
        <v>1.0</v>
      </c>
      <c r="P151" s="1">
        <v>1.0</v>
      </c>
      <c r="Q151" s="1">
        <v>16.0</v>
      </c>
      <c r="R151" s="1" t="s">
        <v>21</v>
      </c>
      <c r="S151" s="1"/>
    </row>
    <row r="152">
      <c r="A152" s="1" t="s">
        <v>149</v>
      </c>
      <c r="B152" s="1">
        <v>15328.0</v>
      </c>
      <c r="C152" s="1">
        <v>0.0</v>
      </c>
      <c r="D152" s="1">
        <v>24.0</v>
      </c>
      <c r="E152" s="1">
        <v>1.0</v>
      </c>
      <c r="F152" s="1">
        <v>1.0</v>
      </c>
      <c r="G152" s="1">
        <v>0.0</v>
      </c>
      <c r="H152" s="1" t="s">
        <v>21</v>
      </c>
      <c r="I152" s="1"/>
      <c r="J152" s="1"/>
      <c r="K152" s="16" t="str">
        <f t="shared" si="6"/>
        <v/>
      </c>
      <c r="L152" s="1">
        <v>4541.0</v>
      </c>
      <c r="M152" s="1">
        <v>4.0</v>
      </c>
      <c r="N152" s="1">
        <v>26.0</v>
      </c>
      <c r="O152" s="1">
        <v>1.0</v>
      </c>
      <c r="P152" s="1">
        <v>10.0</v>
      </c>
      <c r="Q152" s="1">
        <v>0.0</v>
      </c>
      <c r="R152" s="1" t="s">
        <v>22</v>
      </c>
      <c r="S152" s="1">
        <v>717.0</v>
      </c>
      <c r="T152" s="1">
        <v>69457.0</v>
      </c>
      <c r="U152" s="1">
        <v>3.0</v>
      </c>
    </row>
    <row r="153">
      <c r="A153" s="1" t="s">
        <v>150</v>
      </c>
      <c r="B153" s="1">
        <v>51830.0</v>
      </c>
      <c r="C153" s="1">
        <v>0.0</v>
      </c>
      <c r="D153" s="1">
        <v>157.0</v>
      </c>
      <c r="E153" s="1">
        <v>2.0</v>
      </c>
      <c r="F153" s="1">
        <v>2.0</v>
      </c>
      <c r="G153" s="1">
        <v>92.0</v>
      </c>
      <c r="H153" s="1" t="s">
        <v>22</v>
      </c>
      <c r="I153" s="1">
        <v>1266.0</v>
      </c>
      <c r="J153" s="1">
        <v>328258.0</v>
      </c>
      <c r="K153" s="1">
        <v>8.0</v>
      </c>
      <c r="L153" s="1">
        <v>51100.0</v>
      </c>
      <c r="M153" s="1">
        <v>0.0</v>
      </c>
      <c r="N153" s="1">
        <v>27.0</v>
      </c>
      <c r="O153" s="1">
        <v>2.0</v>
      </c>
      <c r="P153" s="1">
        <v>6.0</v>
      </c>
      <c r="Q153" s="1">
        <v>0.0</v>
      </c>
      <c r="R153" s="1" t="s">
        <v>22</v>
      </c>
      <c r="S153" s="1"/>
      <c r="T153" s="1"/>
      <c r="U153" s="1"/>
    </row>
    <row r="154">
      <c r="A154" s="1" t="s">
        <v>151</v>
      </c>
      <c r="B154" s="1">
        <v>34735.0</v>
      </c>
      <c r="C154" s="1">
        <v>0.0</v>
      </c>
      <c r="D154" s="1">
        <v>82.0</v>
      </c>
      <c r="E154" s="1">
        <v>2.0</v>
      </c>
      <c r="F154" s="1">
        <v>6.0</v>
      </c>
      <c r="G154" s="1">
        <v>30.0</v>
      </c>
      <c r="H154" s="1" t="s">
        <v>21</v>
      </c>
      <c r="I154" s="1"/>
      <c r="J154" s="1"/>
      <c r="K154" s="16" t="str">
        <f t="shared" ref="K154:K155" si="7">IF(A154=A352, B352, "")</f>
        <v/>
      </c>
      <c r="L154" s="1">
        <v>33270.0</v>
      </c>
      <c r="M154" s="1">
        <v>0.0</v>
      </c>
      <c r="N154" s="1">
        <v>28.0</v>
      </c>
      <c r="O154" s="1">
        <v>2.0</v>
      </c>
      <c r="P154" s="1">
        <v>3.0</v>
      </c>
      <c r="Q154" s="1">
        <v>4.0</v>
      </c>
      <c r="R154" s="1" t="s">
        <v>22</v>
      </c>
      <c r="S154" s="1"/>
      <c r="T154" s="1"/>
      <c r="U154" s="1"/>
    </row>
    <row r="155">
      <c r="A155" s="1" t="s">
        <v>152</v>
      </c>
      <c r="B155" s="1">
        <v>34605.0</v>
      </c>
      <c r="C155" s="1">
        <v>87.0</v>
      </c>
      <c r="D155" s="1">
        <v>364.0</v>
      </c>
      <c r="E155" s="1">
        <v>10.0</v>
      </c>
      <c r="F155" s="1">
        <v>109.0</v>
      </c>
      <c r="G155" s="1">
        <v>15.0</v>
      </c>
      <c r="H155" s="1" t="s">
        <v>21</v>
      </c>
      <c r="I155" s="1"/>
      <c r="J155" s="1"/>
      <c r="K155" s="16" t="str">
        <f t="shared" si="7"/>
        <v/>
      </c>
      <c r="L155" s="1">
        <v>34716.0</v>
      </c>
      <c r="M155" s="1">
        <v>0.0</v>
      </c>
      <c r="N155" s="1">
        <v>28.0</v>
      </c>
      <c r="O155" s="1">
        <v>3.0</v>
      </c>
      <c r="P155" s="1">
        <v>11.0</v>
      </c>
      <c r="Q155" s="1">
        <v>0.0</v>
      </c>
      <c r="R155" s="1" t="s">
        <v>22</v>
      </c>
      <c r="S155" s="1"/>
      <c r="T155" s="1"/>
      <c r="U155" s="1"/>
    </row>
    <row r="156">
      <c r="A156" s="1" t="s">
        <v>161</v>
      </c>
      <c r="B156" s="13" t="s">
        <v>83</v>
      </c>
      <c r="L156" s="13" t="s">
        <v>84</v>
      </c>
    </row>
    <row r="157">
      <c r="A157" s="1" t="s">
        <v>86</v>
      </c>
      <c r="B157" s="1" t="s">
        <v>87</v>
      </c>
      <c r="C157" s="1" t="s">
        <v>88</v>
      </c>
      <c r="D157" s="1" t="s">
        <v>89</v>
      </c>
      <c r="E157" s="1" t="s">
        <v>90</v>
      </c>
      <c r="F157" s="1" t="s">
        <v>91</v>
      </c>
      <c r="G157" s="1" t="s">
        <v>92</v>
      </c>
      <c r="H157" s="1" t="s">
        <v>3</v>
      </c>
      <c r="I157" s="1" t="s">
        <v>4</v>
      </c>
      <c r="J157" s="1" t="s">
        <v>93</v>
      </c>
      <c r="K157" s="1" t="s">
        <v>94</v>
      </c>
      <c r="L157" s="1" t="s">
        <v>95</v>
      </c>
      <c r="M157" s="1" t="s">
        <v>88</v>
      </c>
      <c r="N157" s="1" t="s">
        <v>89</v>
      </c>
      <c r="O157" s="1" t="s">
        <v>90</v>
      </c>
      <c r="P157" s="1" t="s">
        <v>91</v>
      </c>
      <c r="Q157" s="1" t="s">
        <v>92</v>
      </c>
      <c r="R157" s="1" t="s">
        <v>3</v>
      </c>
      <c r="S157" s="1" t="s">
        <v>4</v>
      </c>
      <c r="T157" s="1" t="s">
        <v>96</v>
      </c>
      <c r="U157" s="1" t="s">
        <v>94</v>
      </c>
    </row>
    <row r="158">
      <c r="A158" s="1" t="s">
        <v>97</v>
      </c>
      <c r="B158" s="1">
        <v>52775.0</v>
      </c>
      <c r="C158" s="1">
        <v>0.0</v>
      </c>
      <c r="D158" s="1">
        <v>24.0</v>
      </c>
      <c r="E158" s="1">
        <v>3.0</v>
      </c>
      <c r="F158" s="1">
        <v>3.0</v>
      </c>
      <c r="G158" s="1">
        <v>5.0</v>
      </c>
      <c r="H158" s="1" t="s">
        <v>22</v>
      </c>
      <c r="I158" s="16">
        <v>1493.0</v>
      </c>
      <c r="J158" s="1">
        <v>370035.0</v>
      </c>
      <c r="K158" s="1">
        <v>15.0</v>
      </c>
      <c r="L158" s="1">
        <v>53252.0</v>
      </c>
      <c r="M158" s="1">
        <v>0.0</v>
      </c>
      <c r="N158" s="1">
        <v>42.0</v>
      </c>
      <c r="O158" s="1">
        <v>3.0</v>
      </c>
      <c r="P158" s="1">
        <v>21.0</v>
      </c>
      <c r="Q158" s="1">
        <v>3.0</v>
      </c>
      <c r="R158" s="1" t="s">
        <v>22</v>
      </c>
      <c r="S158" s="1">
        <v>1488.0</v>
      </c>
      <c r="T158" s="1">
        <v>224055.0</v>
      </c>
      <c r="U158" s="1">
        <v>20.0</v>
      </c>
    </row>
    <row r="159">
      <c r="A159" s="1" t="s">
        <v>98</v>
      </c>
      <c r="B159" s="1">
        <v>52563.0</v>
      </c>
      <c r="C159" s="1">
        <v>0.0</v>
      </c>
      <c r="D159" s="1">
        <v>38.0</v>
      </c>
      <c r="E159" s="1">
        <v>1.0</v>
      </c>
      <c r="F159" s="1">
        <v>15.0</v>
      </c>
      <c r="G159" s="1">
        <v>0.0</v>
      </c>
      <c r="H159" s="1" t="s">
        <v>22</v>
      </c>
      <c r="I159" s="16">
        <v>1124.0</v>
      </c>
      <c r="J159" s="1">
        <v>422350.0</v>
      </c>
      <c r="K159" s="1">
        <v>17.0</v>
      </c>
      <c r="L159" s="1">
        <v>55211.0</v>
      </c>
      <c r="M159" s="1">
        <v>0.0</v>
      </c>
      <c r="N159" s="1">
        <v>24.0</v>
      </c>
      <c r="O159" s="1">
        <v>1.0</v>
      </c>
      <c r="P159" s="1">
        <v>1.0</v>
      </c>
      <c r="Q159" s="1">
        <v>62.0</v>
      </c>
      <c r="R159" s="1" t="s">
        <v>22</v>
      </c>
      <c r="S159" s="16">
        <v>1024.0</v>
      </c>
      <c r="T159" s="1">
        <v>377564.0</v>
      </c>
      <c r="U159" s="1">
        <v>15.0</v>
      </c>
      <c r="V159" s="16"/>
      <c r="W159" s="16"/>
    </row>
    <row r="160">
      <c r="A160" s="1" t="s">
        <v>99</v>
      </c>
      <c r="B160" s="1">
        <v>59917.0</v>
      </c>
      <c r="C160" s="1">
        <v>0.0</v>
      </c>
      <c r="D160" s="1">
        <v>24.0</v>
      </c>
      <c r="E160" s="1">
        <v>5.0</v>
      </c>
      <c r="F160" s="1">
        <v>5.0</v>
      </c>
      <c r="G160" s="1">
        <v>9.0</v>
      </c>
      <c r="H160" s="1" t="s">
        <v>22</v>
      </c>
      <c r="I160" s="16">
        <v>1185.0</v>
      </c>
      <c r="J160" s="1">
        <v>155263.0</v>
      </c>
      <c r="K160" s="1">
        <v>13.0</v>
      </c>
      <c r="L160" s="1">
        <v>58485.0</v>
      </c>
      <c r="M160" s="1">
        <v>0.0</v>
      </c>
      <c r="N160" s="1">
        <v>24.0</v>
      </c>
      <c r="O160" s="1">
        <v>1.0</v>
      </c>
      <c r="P160" s="1">
        <v>1.0</v>
      </c>
      <c r="Q160" s="1">
        <v>7.0</v>
      </c>
      <c r="R160" s="1" t="s">
        <v>22</v>
      </c>
      <c r="S160" s="16">
        <v>1276.0</v>
      </c>
      <c r="T160" s="1">
        <v>208001.0</v>
      </c>
      <c r="U160" s="1">
        <v>17.0</v>
      </c>
      <c r="V160" s="16"/>
      <c r="W160" s="16"/>
    </row>
    <row r="161">
      <c r="A161" s="1" t="s">
        <v>100</v>
      </c>
      <c r="B161" s="1">
        <v>88974.0</v>
      </c>
      <c r="C161" s="1">
        <v>0.0</v>
      </c>
      <c r="D161" s="1">
        <v>175.0</v>
      </c>
      <c r="E161" s="1">
        <v>3.0</v>
      </c>
      <c r="F161" s="1">
        <v>156.0</v>
      </c>
      <c r="G161" s="1">
        <v>16.0</v>
      </c>
      <c r="H161" s="1" t="s">
        <v>22</v>
      </c>
      <c r="I161" s="16">
        <v>928.0</v>
      </c>
      <c r="J161" s="1">
        <v>185773.0</v>
      </c>
      <c r="K161" s="1">
        <v>8.0</v>
      </c>
      <c r="L161" s="1">
        <v>35323.0</v>
      </c>
      <c r="M161" s="1">
        <v>4.0</v>
      </c>
      <c r="N161" s="1">
        <v>25.0</v>
      </c>
      <c r="O161" s="1">
        <v>2.0</v>
      </c>
      <c r="P161" s="1">
        <v>9.0</v>
      </c>
      <c r="Q161" s="1">
        <v>0.0</v>
      </c>
      <c r="R161" s="1" t="s">
        <v>22</v>
      </c>
      <c r="S161" s="16">
        <v>1376.0</v>
      </c>
      <c r="T161" s="1">
        <v>306659.0</v>
      </c>
      <c r="U161" s="1">
        <v>13.0</v>
      </c>
      <c r="V161" s="16"/>
      <c r="W161" s="16"/>
    </row>
    <row r="162">
      <c r="A162" s="1" t="s">
        <v>102</v>
      </c>
      <c r="B162" s="1">
        <v>41251.0</v>
      </c>
      <c r="C162" s="1">
        <v>0.0</v>
      </c>
      <c r="D162" s="1">
        <v>27.0</v>
      </c>
      <c r="E162" s="1">
        <v>3.0</v>
      </c>
      <c r="F162" s="1">
        <v>6.0</v>
      </c>
      <c r="G162" s="1">
        <v>45.0</v>
      </c>
      <c r="H162" s="1" t="s">
        <v>22</v>
      </c>
      <c r="I162" s="16">
        <v>904.0</v>
      </c>
      <c r="J162" s="1">
        <v>149364.0</v>
      </c>
      <c r="K162" s="1">
        <v>11.0</v>
      </c>
      <c r="L162" s="1">
        <v>39401.0</v>
      </c>
      <c r="M162" s="1">
        <v>0.0</v>
      </c>
      <c r="N162" s="1">
        <v>32.0</v>
      </c>
      <c r="O162" s="1">
        <v>3.0</v>
      </c>
      <c r="P162" s="1">
        <v>12.0</v>
      </c>
      <c r="Q162" s="1">
        <v>2.0</v>
      </c>
      <c r="R162" s="1" t="s">
        <v>21</v>
      </c>
      <c r="S162" s="1"/>
      <c r="V162" s="16"/>
      <c r="W162" s="16"/>
    </row>
    <row r="163">
      <c r="A163" s="1" t="s">
        <v>154</v>
      </c>
      <c r="B163" s="1">
        <v>61417.0</v>
      </c>
      <c r="C163" s="1">
        <v>0.0</v>
      </c>
      <c r="D163" s="1">
        <v>31.0</v>
      </c>
      <c r="E163" s="1">
        <v>1.0</v>
      </c>
      <c r="F163" s="1">
        <v>8.0</v>
      </c>
      <c r="G163" s="1">
        <v>91.0</v>
      </c>
      <c r="H163" s="1" t="s">
        <v>22</v>
      </c>
      <c r="I163" s="16">
        <v>989.0</v>
      </c>
      <c r="J163" s="1">
        <v>215155.0</v>
      </c>
      <c r="K163" s="1">
        <v>18.0</v>
      </c>
      <c r="L163" s="1">
        <v>61215.0</v>
      </c>
      <c r="M163" s="1">
        <v>0.0</v>
      </c>
      <c r="N163" s="1">
        <v>24.0</v>
      </c>
      <c r="O163" s="1">
        <v>1.0</v>
      </c>
      <c r="P163" s="1">
        <v>1.0</v>
      </c>
      <c r="Q163" s="1">
        <v>1.0</v>
      </c>
      <c r="R163" s="1" t="s">
        <v>22</v>
      </c>
      <c r="S163" s="16">
        <v>1094.0</v>
      </c>
      <c r="T163" s="1">
        <v>147106.0</v>
      </c>
      <c r="U163" s="1">
        <v>16.0</v>
      </c>
      <c r="V163" s="16"/>
      <c r="W163" s="16"/>
    </row>
    <row r="164">
      <c r="A164" s="1" t="s">
        <v>104</v>
      </c>
      <c r="B164" s="1">
        <v>72202.0</v>
      </c>
      <c r="C164" s="1">
        <v>0.0</v>
      </c>
      <c r="D164" s="1">
        <v>79.0</v>
      </c>
      <c r="E164" s="1">
        <v>1.0</v>
      </c>
      <c r="F164" s="1">
        <v>59.0</v>
      </c>
      <c r="G164" s="1">
        <v>1.0</v>
      </c>
      <c r="H164" s="1" t="s">
        <v>22</v>
      </c>
      <c r="I164" s="16">
        <v>862.0</v>
      </c>
      <c r="J164" s="1">
        <v>173114.0</v>
      </c>
      <c r="K164" s="1">
        <v>19.0</v>
      </c>
      <c r="L164" s="1">
        <v>59528.0</v>
      </c>
      <c r="M164" s="1">
        <v>0.0</v>
      </c>
      <c r="N164" s="1">
        <v>46.0</v>
      </c>
      <c r="O164" s="1">
        <v>1.0</v>
      </c>
      <c r="P164" s="1">
        <v>24.0</v>
      </c>
      <c r="Q164" s="1">
        <v>2.0</v>
      </c>
      <c r="R164" s="1" t="s">
        <v>22</v>
      </c>
      <c r="S164" s="16">
        <v>858.0</v>
      </c>
      <c r="T164" s="1">
        <v>396528.0</v>
      </c>
      <c r="U164" s="1">
        <v>18.0</v>
      </c>
      <c r="V164" s="16"/>
      <c r="W164" s="16"/>
    </row>
    <row r="165">
      <c r="A165" s="1" t="s">
        <v>106</v>
      </c>
      <c r="B165" s="1">
        <v>64934.0</v>
      </c>
      <c r="C165" s="1">
        <v>0.0</v>
      </c>
      <c r="D165" s="1">
        <v>24.0</v>
      </c>
      <c r="E165" s="1">
        <v>1.0</v>
      </c>
      <c r="F165" s="1">
        <v>1.0</v>
      </c>
      <c r="G165" s="1">
        <v>4.0</v>
      </c>
      <c r="H165" s="1" t="s">
        <v>22</v>
      </c>
      <c r="I165" s="16">
        <v>1140.0</v>
      </c>
      <c r="J165" s="1">
        <v>157747.0</v>
      </c>
      <c r="K165" s="1">
        <v>25.0</v>
      </c>
      <c r="L165" s="1">
        <v>62242.0</v>
      </c>
      <c r="M165" s="1">
        <v>0.0</v>
      </c>
      <c r="N165" s="1">
        <v>24.0</v>
      </c>
      <c r="O165" s="1">
        <v>1.0</v>
      </c>
      <c r="P165" s="1">
        <v>1.0</v>
      </c>
      <c r="Q165" s="1">
        <v>4.0</v>
      </c>
      <c r="R165" s="1" t="s">
        <v>22</v>
      </c>
      <c r="S165" s="16">
        <v>1246.0</v>
      </c>
      <c r="T165" s="1">
        <v>177866.0</v>
      </c>
      <c r="U165" s="1">
        <v>14.0</v>
      </c>
    </row>
    <row r="166">
      <c r="A166" s="1" t="s">
        <v>108</v>
      </c>
      <c r="B166" s="1">
        <v>90318.0</v>
      </c>
      <c r="C166" s="1">
        <v>0.0</v>
      </c>
      <c r="D166" s="1">
        <v>113.0</v>
      </c>
      <c r="E166" s="1">
        <v>1.0</v>
      </c>
      <c r="F166" s="1">
        <v>90.0</v>
      </c>
      <c r="G166" s="1">
        <v>94.0</v>
      </c>
      <c r="H166" s="1" t="s">
        <v>22</v>
      </c>
      <c r="I166" s="16">
        <v>1021.0</v>
      </c>
      <c r="J166" s="1">
        <v>133271.0</v>
      </c>
      <c r="K166" s="1">
        <v>13.0</v>
      </c>
      <c r="L166" s="1">
        <v>82640.0</v>
      </c>
      <c r="M166" s="1">
        <v>0.0</v>
      </c>
      <c r="N166" s="1">
        <v>24.0</v>
      </c>
      <c r="O166" s="1">
        <v>1.0</v>
      </c>
      <c r="P166" s="1">
        <v>1.0</v>
      </c>
      <c r="Q166" s="1">
        <v>10.0</v>
      </c>
      <c r="R166" s="1" t="s">
        <v>22</v>
      </c>
      <c r="S166" s="16">
        <v>1486.0</v>
      </c>
      <c r="T166" s="1">
        <v>168476.0</v>
      </c>
      <c r="U166" s="1">
        <v>24.0</v>
      </c>
    </row>
    <row r="167">
      <c r="A167" s="1" t="s">
        <v>110</v>
      </c>
      <c r="B167" s="1">
        <v>57164.0</v>
      </c>
      <c r="C167" s="1">
        <v>0.0</v>
      </c>
      <c r="D167" s="1">
        <v>34.0</v>
      </c>
      <c r="E167" s="1">
        <v>1.0</v>
      </c>
      <c r="F167" s="1">
        <v>11.0</v>
      </c>
      <c r="G167" s="1">
        <v>1.0</v>
      </c>
      <c r="H167" s="1" t="s">
        <v>22</v>
      </c>
      <c r="I167" s="16">
        <v>1328.0</v>
      </c>
      <c r="J167" s="1">
        <v>151918.0</v>
      </c>
      <c r="K167" s="1">
        <v>14.0</v>
      </c>
      <c r="L167" s="1">
        <v>54388.0</v>
      </c>
      <c r="M167" s="1">
        <v>0.0</v>
      </c>
      <c r="N167" s="1">
        <v>46.0</v>
      </c>
      <c r="O167" s="1">
        <v>1.0</v>
      </c>
      <c r="P167" s="1">
        <v>23.0</v>
      </c>
      <c r="Q167" s="1">
        <v>3.0</v>
      </c>
      <c r="R167" s="1" t="s">
        <v>22</v>
      </c>
      <c r="S167" s="16">
        <v>1268.0</v>
      </c>
      <c r="T167" s="1">
        <v>140027.0</v>
      </c>
      <c r="U167" s="1">
        <v>15.0</v>
      </c>
    </row>
    <row r="168">
      <c r="A168" s="1" t="s">
        <v>113</v>
      </c>
      <c r="B168" s="1">
        <v>46521.0</v>
      </c>
      <c r="C168" s="1">
        <v>0.0</v>
      </c>
      <c r="D168" s="1">
        <v>28.0</v>
      </c>
      <c r="E168" s="1">
        <v>1.0</v>
      </c>
      <c r="F168" s="1">
        <v>9.0</v>
      </c>
      <c r="G168" s="1">
        <v>12.0</v>
      </c>
      <c r="H168" s="1" t="s">
        <v>22</v>
      </c>
      <c r="I168" s="16">
        <v>544.0</v>
      </c>
      <c r="J168" s="1">
        <v>182956.0</v>
      </c>
      <c r="K168" s="1">
        <v>19.0</v>
      </c>
      <c r="L168" s="1">
        <v>38983.0</v>
      </c>
      <c r="M168" s="1">
        <v>0.0</v>
      </c>
      <c r="N168" s="1">
        <v>28.0</v>
      </c>
      <c r="O168" s="1">
        <v>1.0</v>
      </c>
      <c r="P168" s="1">
        <v>5.0</v>
      </c>
      <c r="Q168" s="1">
        <v>4.0</v>
      </c>
      <c r="R168" s="1" t="s">
        <v>22</v>
      </c>
      <c r="S168" s="16">
        <v>629.0</v>
      </c>
      <c r="T168" s="1">
        <v>145896.0</v>
      </c>
      <c r="U168" s="1">
        <v>13.0</v>
      </c>
    </row>
    <row r="169">
      <c r="A169" s="1" t="s">
        <v>115</v>
      </c>
      <c r="B169" s="1">
        <v>68151.0</v>
      </c>
      <c r="C169" s="1">
        <v>0.0</v>
      </c>
      <c r="D169" s="1">
        <v>26.0</v>
      </c>
      <c r="E169" s="1">
        <v>1.0</v>
      </c>
      <c r="F169" s="1">
        <v>4.0</v>
      </c>
      <c r="G169" s="1">
        <v>1.0</v>
      </c>
      <c r="H169" s="1" t="s">
        <v>22</v>
      </c>
      <c r="I169" s="16">
        <v>1521.0</v>
      </c>
      <c r="J169" s="1">
        <v>191837.0</v>
      </c>
      <c r="K169" s="1">
        <v>16.0</v>
      </c>
      <c r="L169" s="1">
        <v>67299.0</v>
      </c>
      <c r="M169" s="1">
        <v>0.0</v>
      </c>
      <c r="N169" s="1">
        <v>27.0</v>
      </c>
      <c r="O169" s="1">
        <v>1.0</v>
      </c>
      <c r="P169" s="1">
        <v>5.0</v>
      </c>
      <c r="Q169" s="1">
        <v>2.0</v>
      </c>
      <c r="R169" s="1" t="s">
        <v>22</v>
      </c>
      <c r="S169" s="16">
        <v>1570.0</v>
      </c>
      <c r="T169" s="1">
        <v>198628.0</v>
      </c>
      <c r="U169" s="1">
        <v>16.0</v>
      </c>
    </row>
    <row r="170">
      <c r="A170" s="1" t="s">
        <v>101</v>
      </c>
      <c r="B170" s="1">
        <v>71340.0</v>
      </c>
      <c r="C170" s="1">
        <v>0.0</v>
      </c>
      <c r="D170" s="1">
        <v>24.0</v>
      </c>
      <c r="E170" s="1">
        <v>1.0</v>
      </c>
      <c r="F170" s="1">
        <v>1.0</v>
      </c>
      <c r="G170" s="1">
        <v>6.0</v>
      </c>
      <c r="H170" s="1" t="s">
        <v>22</v>
      </c>
      <c r="I170" s="16">
        <v>1320.0</v>
      </c>
      <c r="J170" s="1">
        <v>54243.0</v>
      </c>
      <c r="K170" s="1">
        <v>3.0</v>
      </c>
      <c r="L170" s="1">
        <v>65056.0</v>
      </c>
      <c r="M170" s="1">
        <v>0.0</v>
      </c>
      <c r="N170" s="1">
        <v>35.0</v>
      </c>
      <c r="O170" s="1">
        <v>1.0</v>
      </c>
      <c r="P170" s="1">
        <v>12.0</v>
      </c>
      <c r="Q170" s="1">
        <v>4.0</v>
      </c>
      <c r="R170" s="1" t="s">
        <v>22</v>
      </c>
      <c r="S170" s="16">
        <v>1232.0</v>
      </c>
      <c r="T170" s="1">
        <v>181305.0</v>
      </c>
      <c r="U170" s="1">
        <v>28.0</v>
      </c>
    </row>
    <row r="171">
      <c r="A171" s="1" t="s">
        <v>103</v>
      </c>
      <c r="B171" s="1">
        <v>75188.0</v>
      </c>
      <c r="C171" s="1">
        <v>0.0</v>
      </c>
      <c r="D171" s="1">
        <v>24.0</v>
      </c>
      <c r="E171" s="1">
        <v>1.0</v>
      </c>
      <c r="F171" s="1">
        <v>1.0</v>
      </c>
      <c r="G171" s="1">
        <v>11.0</v>
      </c>
      <c r="H171" s="1" t="s">
        <v>22</v>
      </c>
      <c r="I171" s="16">
        <v>179.0</v>
      </c>
      <c r="J171" s="1">
        <v>162320.0</v>
      </c>
      <c r="K171" s="1">
        <v>8.0</v>
      </c>
      <c r="L171" s="1">
        <v>61751.0</v>
      </c>
      <c r="M171" s="1">
        <v>0.0</v>
      </c>
      <c r="N171" s="1">
        <v>28.0</v>
      </c>
      <c r="O171" s="1">
        <v>1.0</v>
      </c>
      <c r="P171" s="1">
        <v>5.0</v>
      </c>
      <c r="Q171" s="1">
        <v>1.0</v>
      </c>
      <c r="R171" s="1" t="s">
        <v>22</v>
      </c>
      <c r="S171" s="16">
        <v>1172.0</v>
      </c>
      <c r="T171" s="1">
        <v>204181.0</v>
      </c>
      <c r="U171" s="1">
        <v>26.0</v>
      </c>
    </row>
    <row r="172">
      <c r="A172" s="1" t="s">
        <v>105</v>
      </c>
      <c r="B172" s="1">
        <v>41582.0</v>
      </c>
      <c r="C172" s="1">
        <v>0.0</v>
      </c>
      <c r="D172" s="1">
        <v>26.0</v>
      </c>
      <c r="E172" s="1">
        <v>1.0</v>
      </c>
      <c r="F172" s="1">
        <v>3.0</v>
      </c>
      <c r="G172" s="1">
        <v>65.0</v>
      </c>
      <c r="H172" s="1" t="s">
        <v>22</v>
      </c>
      <c r="I172" s="16">
        <v>907.0</v>
      </c>
      <c r="J172" s="1">
        <v>293312.0</v>
      </c>
      <c r="K172" s="1">
        <v>11.0</v>
      </c>
      <c r="L172" s="1">
        <v>38917.0</v>
      </c>
      <c r="M172" s="1">
        <v>0.0</v>
      </c>
      <c r="N172" s="1">
        <v>24.0</v>
      </c>
      <c r="O172" s="1">
        <v>1.0</v>
      </c>
      <c r="P172" s="1">
        <v>1.0</v>
      </c>
      <c r="Q172" s="1">
        <v>4.0</v>
      </c>
      <c r="R172" s="1" t="s">
        <v>22</v>
      </c>
      <c r="S172" s="16">
        <v>947.0</v>
      </c>
      <c r="T172" s="1">
        <v>195580.0</v>
      </c>
      <c r="U172" s="1">
        <v>11.0</v>
      </c>
    </row>
    <row r="173">
      <c r="A173" s="1" t="s">
        <v>107</v>
      </c>
      <c r="B173" s="1">
        <v>42147.0</v>
      </c>
      <c r="C173" s="1">
        <v>0.0</v>
      </c>
      <c r="D173" s="1">
        <v>29.0</v>
      </c>
      <c r="E173" s="1">
        <v>38.0</v>
      </c>
      <c r="F173" s="1">
        <v>43.0</v>
      </c>
      <c r="G173" s="1">
        <v>0.0</v>
      </c>
      <c r="H173" s="1" t="s">
        <v>22</v>
      </c>
      <c r="I173" s="16">
        <v>1058.0</v>
      </c>
      <c r="J173" s="1">
        <v>184643.0</v>
      </c>
      <c r="K173" s="1">
        <v>19.0</v>
      </c>
      <c r="L173" s="1">
        <v>647.0</v>
      </c>
      <c r="M173" s="1">
        <v>0.0</v>
      </c>
      <c r="N173" s="1">
        <v>24.0</v>
      </c>
      <c r="O173" s="1">
        <v>1.0</v>
      </c>
      <c r="P173" s="1">
        <v>1.0</v>
      </c>
      <c r="Q173" s="1">
        <v>0.0</v>
      </c>
      <c r="R173" s="1" t="s">
        <v>22</v>
      </c>
      <c r="S173" s="16">
        <v>217.0</v>
      </c>
      <c r="T173" s="1">
        <v>25407.0</v>
      </c>
      <c r="U173" s="1">
        <v>2.0</v>
      </c>
    </row>
    <row r="174">
      <c r="A174" s="1" t="s">
        <v>109</v>
      </c>
      <c r="B174" s="1">
        <v>65573.0</v>
      </c>
      <c r="C174" s="1">
        <v>0.0</v>
      </c>
      <c r="D174" s="1">
        <v>35.0</v>
      </c>
      <c r="E174" s="1">
        <v>1.0</v>
      </c>
      <c r="F174" s="1">
        <v>12.0</v>
      </c>
      <c r="G174" s="1">
        <v>12.0</v>
      </c>
      <c r="H174" s="1" t="s">
        <v>22</v>
      </c>
      <c r="I174" s="16">
        <v>1140.0</v>
      </c>
      <c r="J174" s="1">
        <v>158193.0</v>
      </c>
      <c r="K174" s="1">
        <v>11.0</v>
      </c>
      <c r="L174" s="1">
        <v>66457.0</v>
      </c>
      <c r="M174" s="1">
        <v>0.0</v>
      </c>
      <c r="N174" s="1">
        <v>27.0</v>
      </c>
      <c r="O174" s="1">
        <v>1.0</v>
      </c>
      <c r="P174" s="1">
        <v>5.0</v>
      </c>
      <c r="Q174" s="1">
        <v>78.0</v>
      </c>
      <c r="R174" s="1" t="s">
        <v>22</v>
      </c>
      <c r="S174" s="16">
        <v>1099.0</v>
      </c>
      <c r="T174" s="1">
        <v>160206.0</v>
      </c>
      <c r="U174" s="1">
        <v>12.0</v>
      </c>
    </row>
    <row r="175">
      <c r="A175" s="1" t="s">
        <v>111</v>
      </c>
      <c r="B175" s="1">
        <v>58752.0</v>
      </c>
      <c r="C175" s="1">
        <v>0.0</v>
      </c>
      <c r="D175" s="1">
        <v>24.0</v>
      </c>
      <c r="E175" s="1">
        <v>1.0</v>
      </c>
      <c r="F175" s="1">
        <v>1.0</v>
      </c>
      <c r="G175" s="1">
        <v>0.0</v>
      </c>
      <c r="H175" s="1" t="s">
        <v>22</v>
      </c>
      <c r="I175" s="16">
        <v>878.0</v>
      </c>
      <c r="J175" s="1">
        <v>158193.0</v>
      </c>
      <c r="K175" s="1">
        <v>11.0</v>
      </c>
      <c r="L175" s="1">
        <v>60125.0</v>
      </c>
      <c r="M175" s="1">
        <v>0.0</v>
      </c>
      <c r="N175" s="1">
        <v>27.0</v>
      </c>
      <c r="O175" s="1">
        <v>1.0</v>
      </c>
      <c r="P175" s="1">
        <v>4.0</v>
      </c>
      <c r="Q175" s="1">
        <v>0.0</v>
      </c>
      <c r="R175" s="1" t="s">
        <v>22</v>
      </c>
      <c r="S175" s="16">
        <v>1375.0</v>
      </c>
      <c r="T175" s="1">
        <v>137368.0</v>
      </c>
      <c r="U175" s="1">
        <v>25.0</v>
      </c>
    </row>
    <row r="176">
      <c r="A176" s="1" t="s">
        <v>114</v>
      </c>
      <c r="B176" s="1">
        <v>38321.0</v>
      </c>
      <c r="C176" s="1">
        <v>0.0</v>
      </c>
      <c r="D176" s="1">
        <v>24.0</v>
      </c>
      <c r="E176" s="1">
        <v>1.0</v>
      </c>
      <c r="F176" s="1">
        <v>1.0</v>
      </c>
      <c r="G176" s="1">
        <v>1.0</v>
      </c>
      <c r="H176" s="1" t="s">
        <v>22</v>
      </c>
      <c r="I176" s="16">
        <v>654.0</v>
      </c>
      <c r="J176" s="1">
        <v>141512.0</v>
      </c>
      <c r="K176" s="1">
        <v>13.0</v>
      </c>
      <c r="L176" s="1">
        <v>34326.0</v>
      </c>
      <c r="M176" s="1">
        <v>0.0</v>
      </c>
      <c r="N176" s="1">
        <v>26.0</v>
      </c>
      <c r="O176" s="1">
        <v>1.0</v>
      </c>
      <c r="P176" s="1">
        <v>3.0</v>
      </c>
      <c r="Q176" s="1">
        <v>3.0</v>
      </c>
      <c r="R176" s="1" t="s">
        <v>22</v>
      </c>
      <c r="S176" s="1"/>
    </row>
    <row r="177">
      <c r="A177" s="1" t="s">
        <v>116</v>
      </c>
      <c r="B177" s="1">
        <v>45768.0</v>
      </c>
      <c r="C177" s="1">
        <v>0.0</v>
      </c>
      <c r="D177" s="1">
        <v>41.0</v>
      </c>
      <c r="E177" s="1">
        <v>1.0</v>
      </c>
      <c r="F177" s="1">
        <v>18.0</v>
      </c>
      <c r="G177" s="1">
        <v>55.0</v>
      </c>
      <c r="H177" s="1" t="s">
        <v>22</v>
      </c>
      <c r="I177" s="16">
        <v>618.0</v>
      </c>
      <c r="J177" s="1">
        <v>177083.0</v>
      </c>
      <c r="K177" s="1">
        <v>9.0</v>
      </c>
      <c r="L177" s="1">
        <v>46811.0</v>
      </c>
      <c r="M177" s="1">
        <v>0.0</v>
      </c>
      <c r="N177" s="1">
        <v>24.0</v>
      </c>
      <c r="O177" s="1">
        <v>1.0</v>
      </c>
      <c r="P177" s="1">
        <v>1.0</v>
      </c>
      <c r="Q177" s="1">
        <v>1.0</v>
      </c>
      <c r="R177" s="1" t="s">
        <v>22</v>
      </c>
    </row>
    <row r="178">
      <c r="A178" s="1" t="s">
        <v>117</v>
      </c>
      <c r="B178" s="1">
        <v>16196.0</v>
      </c>
      <c r="C178" s="1">
        <v>0.0</v>
      </c>
      <c r="D178" s="1">
        <v>24.0</v>
      </c>
      <c r="E178" s="1">
        <v>1.0</v>
      </c>
      <c r="F178" s="1">
        <v>1.0</v>
      </c>
      <c r="G178" s="1">
        <v>2.0</v>
      </c>
      <c r="H178" s="1" t="s">
        <v>22</v>
      </c>
      <c r="I178" s="16">
        <v>993.0</v>
      </c>
      <c r="J178" s="1">
        <v>136671.0</v>
      </c>
      <c r="K178" s="1">
        <v>10.0</v>
      </c>
      <c r="L178" s="1">
        <v>55654.0</v>
      </c>
      <c r="M178" s="1">
        <v>0.0</v>
      </c>
      <c r="N178" s="1">
        <v>26.0</v>
      </c>
      <c r="O178" s="1">
        <v>1.0</v>
      </c>
      <c r="P178" s="1">
        <v>3.0</v>
      </c>
      <c r="Q178" s="1">
        <v>0.0</v>
      </c>
      <c r="R178" s="1" t="s">
        <v>22</v>
      </c>
      <c r="S178" s="1">
        <v>1099.0</v>
      </c>
      <c r="T178" s="1">
        <v>275224.0</v>
      </c>
      <c r="U178" s="1">
        <v>14.0</v>
      </c>
    </row>
    <row r="179">
      <c r="A179" s="1" t="s">
        <v>118</v>
      </c>
      <c r="B179" s="1">
        <v>55038.0</v>
      </c>
      <c r="C179" s="1">
        <v>0.0</v>
      </c>
      <c r="D179" s="1">
        <v>25.0</v>
      </c>
      <c r="E179" s="1">
        <v>1.0</v>
      </c>
      <c r="F179" s="1">
        <v>2.0</v>
      </c>
      <c r="G179" s="1">
        <v>3.0</v>
      </c>
      <c r="H179" s="1" t="s">
        <v>22</v>
      </c>
      <c r="I179" s="16">
        <v>1105.0</v>
      </c>
      <c r="J179" s="1">
        <v>272546.0</v>
      </c>
      <c r="K179" s="1">
        <v>14.0</v>
      </c>
      <c r="L179" s="1">
        <v>56461.0</v>
      </c>
      <c r="M179" s="1">
        <v>0.0</v>
      </c>
      <c r="N179" s="1">
        <v>44.0</v>
      </c>
      <c r="O179" s="1">
        <v>1.0</v>
      </c>
      <c r="P179" s="1">
        <v>21.0</v>
      </c>
      <c r="Q179" s="1">
        <v>107.0</v>
      </c>
      <c r="R179" s="1" t="s">
        <v>22</v>
      </c>
      <c r="S179" s="1"/>
    </row>
    <row r="180">
      <c r="A180" s="1" t="s">
        <v>119</v>
      </c>
      <c r="B180" s="1">
        <v>61192.0</v>
      </c>
      <c r="C180" s="1">
        <v>0.0</v>
      </c>
      <c r="D180" s="1">
        <v>24.0</v>
      </c>
      <c r="E180" s="1">
        <v>1.0</v>
      </c>
      <c r="F180" s="1">
        <v>2.0</v>
      </c>
      <c r="G180" s="1">
        <v>16.0</v>
      </c>
      <c r="H180" s="1" t="s">
        <v>22</v>
      </c>
      <c r="I180" s="16">
        <v>1166.0</v>
      </c>
      <c r="J180" s="1">
        <v>438244.0</v>
      </c>
      <c r="K180" s="1">
        <v>17.0</v>
      </c>
      <c r="L180" s="1">
        <v>59468.0</v>
      </c>
      <c r="M180" s="1">
        <v>0.0</v>
      </c>
      <c r="N180" s="1">
        <v>24.0</v>
      </c>
      <c r="O180" s="1">
        <v>1.0</v>
      </c>
      <c r="P180" s="1">
        <v>1.0</v>
      </c>
      <c r="Q180" s="1">
        <v>2.0</v>
      </c>
      <c r="R180" s="1" t="s">
        <v>22</v>
      </c>
      <c r="S180" s="1"/>
    </row>
    <row r="181">
      <c r="A181" s="1" t="s">
        <v>120</v>
      </c>
      <c r="B181" s="1">
        <v>53650.0</v>
      </c>
      <c r="C181" s="1">
        <v>0.0</v>
      </c>
      <c r="D181" s="1">
        <v>24.0</v>
      </c>
      <c r="E181" s="1">
        <v>1.0</v>
      </c>
      <c r="F181" s="1">
        <v>1.0</v>
      </c>
      <c r="G181" s="1">
        <v>1.0</v>
      </c>
      <c r="H181" s="1" t="s">
        <v>22</v>
      </c>
      <c r="I181" s="16">
        <v>742.0</v>
      </c>
      <c r="J181" s="1">
        <v>189344.0</v>
      </c>
      <c r="K181" s="1">
        <v>14.0</v>
      </c>
      <c r="L181" s="1">
        <v>50505.0</v>
      </c>
      <c r="M181" s="1">
        <v>0.0</v>
      </c>
      <c r="N181" s="1">
        <v>25.0</v>
      </c>
      <c r="O181" s="1">
        <v>1.0</v>
      </c>
      <c r="P181" s="1">
        <v>5.0</v>
      </c>
      <c r="Q181" s="1">
        <v>6.0</v>
      </c>
      <c r="R181" s="1" t="s">
        <v>22</v>
      </c>
      <c r="S181" s="1"/>
    </row>
    <row r="182">
      <c r="A182" s="1" t="s">
        <v>121</v>
      </c>
      <c r="B182" s="1">
        <v>50287.0</v>
      </c>
      <c r="C182" s="1">
        <v>0.0</v>
      </c>
      <c r="D182" s="1">
        <v>24.0</v>
      </c>
      <c r="E182" s="1">
        <v>1.0</v>
      </c>
      <c r="F182" s="1">
        <v>1.0</v>
      </c>
      <c r="G182" s="1">
        <v>8.0</v>
      </c>
      <c r="H182" s="1" t="s">
        <v>22</v>
      </c>
      <c r="I182" s="16">
        <v>919.0</v>
      </c>
      <c r="J182" s="1">
        <v>165064.0</v>
      </c>
      <c r="K182" s="1">
        <v>17.0</v>
      </c>
      <c r="L182" s="1">
        <v>42100.0</v>
      </c>
      <c r="M182" s="1">
        <v>0.0</v>
      </c>
      <c r="N182" s="1">
        <v>25.0</v>
      </c>
      <c r="O182" s="1">
        <v>2.0</v>
      </c>
      <c r="P182" s="1">
        <v>3.0</v>
      </c>
      <c r="Q182" s="1">
        <v>4.0</v>
      </c>
      <c r="R182" s="1" t="s">
        <v>22</v>
      </c>
      <c r="S182" s="1"/>
    </row>
    <row r="183">
      <c r="A183" s="1" t="s">
        <v>122</v>
      </c>
      <c r="B183" s="1">
        <v>60812.0</v>
      </c>
      <c r="C183" s="1">
        <v>0.0</v>
      </c>
      <c r="D183" s="1">
        <v>24.0</v>
      </c>
      <c r="E183" s="1">
        <v>1.0</v>
      </c>
      <c r="F183" s="1">
        <v>1.0</v>
      </c>
      <c r="G183" s="1">
        <v>63.0</v>
      </c>
      <c r="H183" s="1" t="s">
        <v>22</v>
      </c>
      <c r="I183" s="16">
        <v>1457.0</v>
      </c>
      <c r="J183" s="1">
        <v>143593.0</v>
      </c>
      <c r="K183" s="1">
        <v>14.0</v>
      </c>
      <c r="L183" s="1">
        <v>56337.0</v>
      </c>
      <c r="M183" s="1">
        <v>0.0</v>
      </c>
      <c r="N183" s="1">
        <v>24.0</v>
      </c>
      <c r="O183" s="1">
        <v>1.0</v>
      </c>
      <c r="P183" s="1">
        <v>1.0</v>
      </c>
      <c r="Q183" s="1">
        <v>7.0</v>
      </c>
      <c r="R183" s="1" t="s">
        <v>22</v>
      </c>
      <c r="S183" s="1"/>
    </row>
    <row r="184">
      <c r="A184" s="1" t="s">
        <v>123</v>
      </c>
      <c r="B184" s="1">
        <v>84180.0</v>
      </c>
      <c r="C184" s="1">
        <v>0.0</v>
      </c>
      <c r="D184" s="1">
        <v>95.0</v>
      </c>
      <c r="E184" s="1">
        <v>1.0</v>
      </c>
      <c r="F184" s="1">
        <v>72.0</v>
      </c>
      <c r="G184" s="1">
        <v>5.0</v>
      </c>
      <c r="H184" s="1" t="s">
        <v>22</v>
      </c>
      <c r="I184" s="16">
        <v>1532.0</v>
      </c>
      <c r="J184" s="1">
        <v>133593.0</v>
      </c>
      <c r="K184" s="1">
        <v>15.0</v>
      </c>
      <c r="L184" s="1">
        <v>82162.0</v>
      </c>
      <c r="M184" s="1">
        <v>0.0</v>
      </c>
      <c r="N184" s="1">
        <v>24.0</v>
      </c>
      <c r="O184" s="1">
        <v>1.0</v>
      </c>
      <c r="P184" s="1">
        <v>1.0</v>
      </c>
      <c r="Q184" s="1">
        <v>125.0</v>
      </c>
      <c r="R184" s="1" t="s">
        <v>22</v>
      </c>
      <c r="S184" s="1"/>
    </row>
    <row r="185">
      <c r="A185" s="1" t="s">
        <v>124</v>
      </c>
      <c r="B185" s="1">
        <v>62610.0</v>
      </c>
      <c r="C185" s="1">
        <v>0.0</v>
      </c>
      <c r="D185" s="1">
        <v>31.0</v>
      </c>
      <c r="E185" s="1">
        <v>1.0</v>
      </c>
      <c r="F185" s="1">
        <v>9.0</v>
      </c>
      <c r="G185" s="1">
        <v>0.0</v>
      </c>
      <c r="H185" s="1" t="s">
        <v>22</v>
      </c>
      <c r="I185" s="17" t="s">
        <v>50</v>
      </c>
      <c r="J185" s="1">
        <v>231203.0</v>
      </c>
      <c r="K185" s="1">
        <v>14.0</v>
      </c>
      <c r="L185" s="1">
        <v>40796.0</v>
      </c>
      <c r="M185" s="1">
        <v>0.0</v>
      </c>
      <c r="N185" s="1">
        <v>24.0</v>
      </c>
      <c r="O185" s="1">
        <v>1.0</v>
      </c>
      <c r="P185" s="1">
        <v>1.0</v>
      </c>
      <c r="Q185" s="1">
        <v>4.0</v>
      </c>
      <c r="R185" s="1" t="s">
        <v>22</v>
      </c>
      <c r="S185" s="1"/>
    </row>
    <row r="186">
      <c r="A186" s="1" t="s">
        <v>125</v>
      </c>
      <c r="B186" s="1">
        <v>71788.0</v>
      </c>
      <c r="C186" s="1">
        <v>0.0</v>
      </c>
      <c r="D186" s="1">
        <v>73.0</v>
      </c>
      <c r="E186" s="1">
        <v>1.0</v>
      </c>
      <c r="F186" s="1">
        <v>50.0</v>
      </c>
      <c r="G186" s="1">
        <v>8.0</v>
      </c>
      <c r="H186" s="1" t="s">
        <v>22</v>
      </c>
      <c r="I186" s="16">
        <v>1498.0</v>
      </c>
      <c r="J186" s="1">
        <v>154400.0</v>
      </c>
      <c r="K186" s="1">
        <v>24.0</v>
      </c>
      <c r="L186" s="1">
        <v>76645.0</v>
      </c>
      <c r="M186" s="1">
        <v>0.0</v>
      </c>
      <c r="N186" s="1">
        <v>31.0</v>
      </c>
      <c r="O186" s="1">
        <v>1.0</v>
      </c>
      <c r="P186" s="1">
        <v>8.0</v>
      </c>
      <c r="Q186" s="1">
        <v>9.0</v>
      </c>
      <c r="R186" s="1" t="s">
        <v>22</v>
      </c>
      <c r="S186" s="1"/>
    </row>
    <row r="187">
      <c r="A187" s="1" t="s">
        <v>126</v>
      </c>
      <c r="B187" s="1">
        <v>78576.0</v>
      </c>
      <c r="C187" s="1">
        <v>0.0</v>
      </c>
      <c r="D187" s="1">
        <v>58.0</v>
      </c>
      <c r="E187" s="1">
        <v>1.0</v>
      </c>
      <c r="F187" s="1">
        <v>35.0</v>
      </c>
      <c r="G187" s="1">
        <v>109.0</v>
      </c>
      <c r="H187" s="1" t="s">
        <v>22</v>
      </c>
      <c r="I187" s="16">
        <v>726.0</v>
      </c>
      <c r="J187" s="1">
        <v>157632.0</v>
      </c>
      <c r="K187" s="1">
        <v>15.0</v>
      </c>
      <c r="L187" s="1">
        <v>72221.0</v>
      </c>
      <c r="M187" s="1">
        <v>0.0</v>
      </c>
      <c r="N187" s="1">
        <v>24.0</v>
      </c>
      <c r="O187" s="1">
        <v>1.0</v>
      </c>
      <c r="P187" s="1">
        <v>1.0</v>
      </c>
      <c r="Q187" s="1">
        <v>6.0</v>
      </c>
      <c r="R187" s="1" t="s">
        <v>22</v>
      </c>
      <c r="S187" s="16">
        <v>1100.0</v>
      </c>
      <c r="T187" s="1">
        <v>157581.0</v>
      </c>
      <c r="U187" s="1">
        <v>18.0</v>
      </c>
    </row>
    <row r="188">
      <c r="A188" s="1" t="s">
        <v>127</v>
      </c>
      <c r="B188" s="1">
        <v>62186.0</v>
      </c>
      <c r="C188" s="1">
        <v>0.0</v>
      </c>
      <c r="D188" s="1">
        <v>29.0</v>
      </c>
      <c r="E188" s="1">
        <v>1.0</v>
      </c>
      <c r="F188" s="1">
        <v>6.0</v>
      </c>
      <c r="G188" s="1">
        <v>50.0</v>
      </c>
      <c r="H188" s="1" t="s">
        <v>22</v>
      </c>
      <c r="I188" s="16">
        <v>644.0</v>
      </c>
      <c r="J188" s="1">
        <v>199544.0</v>
      </c>
      <c r="K188" s="1">
        <v>13.0</v>
      </c>
      <c r="L188" s="1">
        <v>55310.0</v>
      </c>
      <c r="M188" s="1">
        <v>0.0</v>
      </c>
      <c r="N188" s="1">
        <v>83.0</v>
      </c>
      <c r="O188" s="1">
        <v>1.0</v>
      </c>
      <c r="P188" s="1">
        <v>60.0</v>
      </c>
      <c r="Q188" s="1">
        <v>5.0</v>
      </c>
      <c r="R188" s="1" t="s">
        <v>22</v>
      </c>
      <c r="S188" s="16">
        <v>1081.0</v>
      </c>
      <c r="T188" s="1">
        <v>387275.0</v>
      </c>
      <c r="U188" s="1">
        <v>15.0</v>
      </c>
    </row>
    <row r="189">
      <c r="A189" s="1" t="s">
        <v>128</v>
      </c>
      <c r="B189" s="1">
        <v>53275.0</v>
      </c>
      <c r="C189" s="1">
        <v>0.0</v>
      </c>
      <c r="D189" s="1">
        <v>31.0</v>
      </c>
      <c r="E189" s="1">
        <v>1.0</v>
      </c>
      <c r="F189" s="1">
        <v>8.0</v>
      </c>
      <c r="G189" s="1">
        <v>2.0</v>
      </c>
      <c r="H189" s="1" t="s">
        <v>22</v>
      </c>
      <c r="I189" s="17" t="s">
        <v>50</v>
      </c>
      <c r="J189" s="1">
        <v>160889.0</v>
      </c>
      <c r="K189" s="1">
        <v>21.0</v>
      </c>
      <c r="L189" s="1">
        <v>51581.0</v>
      </c>
      <c r="M189" s="1">
        <v>0.0</v>
      </c>
      <c r="N189" s="1">
        <v>65.0</v>
      </c>
      <c r="O189" s="1">
        <v>1.0</v>
      </c>
      <c r="P189" s="1">
        <v>44.0</v>
      </c>
      <c r="Q189" s="1">
        <v>6.0</v>
      </c>
      <c r="R189" s="1" t="s">
        <v>22</v>
      </c>
      <c r="S189" s="16">
        <v>594.0</v>
      </c>
      <c r="T189" s="1">
        <v>145219.0</v>
      </c>
      <c r="U189" s="1">
        <v>15.0</v>
      </c>
    </row>
    <row r="190">
      <c r="A190" s="1" t="s">
        <v>129</v>
      </c>
      <c r="B190" s="1">
        <v>49128.0</v>
      </c>
      <c r="C190" s="1">
        <v>0.0</v>
      </c>
      <c r="D190" s="1">
        <v>31.0</v>
      </c>
      <c r="E190" s="1">
        <v>1.0</v>
      </c>
      <c r="F190" s="1">
        <v>8.0</v>
      </c>
      <c r="G190" s="1">
        <v>28.0</v>
      </c>
      <c r="H190" s="1" t="s">
        <v>22</v>
      </c>
      <c r="I190" s="16">
        <v>991.0</v>
      </c>
      <c r="J190" s="1">
        <v>205320.0</v>
      </c>
      <c r="K190" s="1">
        <v>13.0</v>
      </c>
      <c r="L190" s="1">
        <v>49866.0</v>
      </c>
      <c r="M190" s="1">
        <v>0.0</v>
      </c>
      <c r="N190" s="1">
        <v>52.0</v>
      </c>
      <c r="O190" s="1">
        <v>1.0</v>
      </c>
      <c r="P190" s="1">
        <v>29.0</v>
      </c>
      <c r="Q190" s="1">
        <v>6.0</v>
      </c>
      <c r="R190" s="1" t="s">
        <v>22</v>
      </c>
      <c r="S190" s="16">
        <v>385.0</v>
      </c>
      <c r="T190" s="1">
        <v>244471.0</v>
      </c>
      <c r="U190" s="1">
        <v>19.0</v>
      </c>
    </row>
    <row r="191">
      <c r="A191" s="1" t="s">
        <v>130</v>
      </c>
      <c r="B191" s="1">
        <v>65519.0</v>
      </c>
      <c r="C191" s="1">
        <v>0.0</v>
      </c>
      <c r="D191" s="1">
        <v>29.0</v>
      </c>
      <c r="E191" s="1">
        <v>1.0</v>
      </c>
      <c r="F191" s="1">
        <v>6.0</v>
      </c>
      <c r="G191" s="1">
        <v>44.0</v>
      </c>
      <c r="H191" s="1" t="s">
        <v>22</v>
      </c>
      <c r="I191" s="16">
        <v>1378.0</v>
      </c>
      <c r="J191" s="1">
        <v>202375.0</v>
      </c>
      <c r="K191" s="1">
        <v>14.0</v>
      </c>
      <c r="L191" s="1">
        <v>57398.0</v>
      </c>
      <c r="M191" s="1">
        <v>0.0</v>
      </c>
      <c r="N191" s="1">
        <v>24.0</v>
      </c>
      <c r="O191" s="1">
        <v>1.0</v>
      </c>
      <c r="P191" s="1">
        <v>1.0</v>
      </c>
      <c r="Q191" s="1">
        <v>56.0</v>
      </c>
      <c r="R191" s="1" t="s">
        <v>22</v>
      </c>
      <c r="S191" s="16">
        <v>1072.0</v>
      </c>
      <c r="T191" s="1">
        <v>410724.0</v>
      </c>
      <c r="U191" s="1">
        <v>12.0</v>
      </c>
    </row>
    <row r="192">
      <c r="A192" s="1" t="s">
        <v>131</v>
      </c>
      <c r="B192" s="1">
        <v>77594.0</v>
      </c>
      <c r="C192" s="1">
        <v>0.0</v>
      </c>
      <c r="D192" s="1">
        <v>24.0</v>
      </c>
      <c r="E192" s="1">
        <v>1.0</v>
      </c>
      <c r="F192" s="1">
        <v>3.0</v>
      </c>
      <c r="G192" s="1">
        <v>5.0</v>
      </c>
      <c r="H192" s="1" t="s">
        <v>22</v>
      </c>
      <c r="I192" s="17"/>
      <c r="J192" s="1">
        <v>197932.0</v>
      </c>
      <c r="K192" s="1">
        <v>18.0</v>
      </c>
      <c r="L192" s="1">
        <v>79639.0</v>
      </c>
      <c r="M192" s="1">
        <v>0.0</v>
      </c>
      <c r="N192" s="1">
        <v>127.0</v>
      </c>
      <c r="O192" s="1">
        <v>2.0</v>
      </c>
      <c r="P192" s="1">
        <v>106.0</v>
      </c>
      <c r="Q192" s="1">
        <v>8.0</v>
      </c>
      <c r="R192" s="1" t="s">
        <v>22</v>
      </c>
      <c r="S192" s="16">
        <v>1394.0</v>
      </c>
      <c r="T192" s="1">
        <v>207474.0</v>
      </c>
      <c r="U192" s="1">
        <v>20.0</v>
      </c>
    </row>
    <row r="193">
      <c r="A193" s="1" t="s">
        <v>139</v>
      </c>
      <c r="B193" s="1">
        <v>58431.0</v>
      </c>
      <c r="C193" s="1">
        <v>0.0</v>
      </c>
      <c r="D193" s="1">
        <v>43.0</v>
      </c>
      <c r="E193" s="1">
        <v>1.0</v>
      </c>
      <c r="F193" s="1">
        <v>20.0</v>
      </c>
      <c r="G193" s="1">
        <v>66.0</v>
      </c>
      <c r="H193" s="1" t="s">
        <v>21</v>
      </c>
      <c r="I193" s="16">
        <v>1683.0</v>
      </c>
      <c r="L193" s="1">
        <v>51501.0</v>
      </c>
      <c r="M193" s="1">
        <v>0.0</v>
      </c>
      <c r="N193" s="1">
        <v>24.0</v>
      </c>
      <c r="O193" s="1">
        <v>1.0</v>
      </c>
      <c r="P193" s="1">
        <v>1.0</v>
      </c>
      <c r="Q193" s="1">
        <v>66.0</v>
      </c>
      <c r="R193" s="1" t="s">
        <v>21</v>
      </c>
      <c r="S193" s="1"/>
    </row>
    <row r="194">
      <c r="A194" s="1" t="s">
        <v>140</v>
      </c>
      <c r="B194" s="1">
        <v>75938.0</v>
      </c>
      <c r="C194" s="1">
        <v>0.0</v>
      </c>
      <c r="D194" s="1">
        <v>208.0</v>
      </c>
      <c r="E194" s="1">
        <v>1.0</v>
      </c>
      <c r="F194" s="1">
        <v>176.0</v>
      </c>
      <c r="G194" s="1">
        <v>7.0</v>
      </c>
      <c r="H194" s="1" t="s">
        <v>22</v>
      </c>
      <c r="I194" s="16">
        <v>746.0</v>
      </c>
      <c r="J194" s="1">
        <v>182735.0</v>
      </c>
      <c r="K194" s="1">
        <v>21.0</v>
      </c>
      <c r="L194" s="1">
        <v>63033.0</v>
      </c>
      <c r="M194" s="1">
        <v>0.0</v>
      </c>
      <c r="N194" s="1">
        <v>171.0</v>
      </c>
      <c r="O194" s="1">
        <v>1.0</v>
      </c>
      <c r="P194" s="1">
        <v>148.0</v>
      </c>
      <c r="Q194" s="1">
        <v>2.0</v>
      </c>
      <c r="R194" s="1" t="s">
        <v>22</v>
      </c>
      <c r="S194" s="16">
        <v>1674.0</v>
      </c>
      <c r="T194" s="1">
        <v>165212.0</v>
      </c>
      <c r="U194" s="1">
        <v>14.0</v>
      </c>
    </row>
    <row r="195">
      <c r="A195" s="1" t="s">
        <v>141</v>
      </c>
      <c r="B195" s="1">
        <v>54706.0</v>
      </c>
      <c r="C195" s="1">
        <v>0.0</v>
      </c>
      <c r="D195" s="1">
        <v>24.0</v>
      </c>
      <c r="E195" s="1">
        <v>1.0</v>
      </c>
      <c r="F195" s="1">
        <v>1.0</v>
      </c>
      <c r="G195" s="1">
        <v>45.0</v>
      </c>
      <c r="H195" s="1" t="s">
        <v>22</v>
      </c>
      <c r="I195" s="16">
        <v>617.0</v>
      </c>
      <c r="J195" s="1">
        <v>166156.0</v>
      </c>
      <c r="K195" s="1">
        <v>11.0</v>
      </c>
      <c r="L195" s="1">
        <v>54457.0</v>
      </c>
      <c r="M195" s="1">
        <v>0.0</v>
      </c>
      <c r="N195" s="1">
        <v>52.0</v>
      </c>
      <c r="O195" s="1">
        <v>5.0</v>
      </c>
      <c r="P195" s="1">
        <v>35.0</v>
      </c>
      <c r="Q195" s="1">
        <v>13.0</v>
      </c>
      <c r="R195" s="1" t="s">
        <v>22</v>
      </c>
      <c r="S195" s="16">
        <v>783.0</v>
      </c>
      <c r="T195" s="1">
        <v>173353.0</v>
      </c>
      <c r="U195" s="1">
        <v>13.0</v>
      </c>
    </row>
    <row r="196">
      <c r="A196" s="1" t="s">
        <v>142</v>
      </c>
      <c r="B196" s="1">
        <v>29863.0</v>
      </c>
      <c r="C196" s="1">
        <v>0.0</v>
      </c>
      <c r="D196" s="1">
        <v>24.0</v>
      </c>
      <c r="E196" s="1">
        <v>1.0</v>
      </c>
      <c r="F196" s="1">
        <v>1.0</v>
      </c>
      <c r="G196" s="1">
        <v>0.0</v>
      </c>
      <c r="H196" s="1" t="s">
        <v>22</v>
      </c>
      <c r="I196" s="17"/>
      <c r="J196" s="1">
        <v>174468.0</v>
      </c>
      <c r="K196" s="1">
        <v>10.0</v>
      </c>
      <c r="L196" s="1">
        <v>29933.0</v>
      </c>
      <c r="M196" s="1">
        <v>0.0</v>
      </c>
      <c r="N196" s="1">
        <v>24.0</v>
      </c>
      <c r="O196" s="1">
        <v>1.0</v>
      </c>
      <c r="P196" s="1">
        <v>1.0</v>
      </c>
      <c r="Q196" s="1">
        <v>0.0</v>
      </c>
      <c r="R196" s="1" t="s">
        <v>22</v>
      </c>
      <c r="S196" s="16">
        <v>576.0</v>
      </c>
      <c r="T196" s="1">
        <v>171882.0</v>
      </c>
      <c r="U196" s="1">
        <v>7.0</v>
      </c>
    </row>
    <row r="197">
      <c r="A197" s="1" t="s">
        <v>143</v>
      </c>
      <c r="B197" s="1">
        <v>41164.0</v>
      </c>
      <c r="C197" s="1">
        <v>0.0</v>
      </c>
      <c r="D197" s="1">
        <v>40.0</v>
      </c>
      <c r="E197" s="1">
        <v>1.0</v>
      </c>
      <c r="F197" s="1">
        <v>23.0</v>
      </c>
      <c r="G197" s="1">
        <v>47.0</v>
      </c>
      <c r="H197" s="1" t="s">
        <v>22</v>
      </c>
      <c r="I197" s="16">
        <v>609.0</v>
      </c>
      <c r="L197" s="1">
        <v>40516.0</v>
      </c>
      <c r="M197" s="1">
        <v>0.0</v>
      </c>
      <c r="N197" s="1">
        <v>53.0</v>
      </c>
      <c r="O197" s="1">
        <v>1.0</v>
      </c>
      <c r="P197" s="1">
        <v>35.0</v>
      </c>
      <c r="Q197" s="1">
        <v>43.0</v>
      </c>
      <c r="R197" s="1" t="s">
        <v>22</v>
      </c>
      <c r="S197" s="16">
        <v>1433.0</v>
      </c>
      <c r="T197" s="1">
        <v>217918.0</v>
      </c>
      <c r="U197" s="1">
        <v>8.0</v>
      </c>
    </row>
    <row r="198">
      <c r="A198" s="1" t="s">
        <v>144</v>
      </c>
      <c r="B198" s="1">
        <v>33604.0</v>
      </c>
      <c r="C198" s="1">
        <v>0.0</v>
      </c>
      <c r="D198" s="1">
        <v>24.0</v>
      </c>
      <c r="E198" s="1">
        <v>1.0</v>
      </c>
      <c r="F198" s="1">
        <v>1.0</v>
      </c>
      <c r="G198" s="1">
        <v>2.0</v>
      </c>
      <c r="H198" s="1" t="s">
        <v>22</v>
      </c>
      <c r="I198" s="16">
        <v>2087.0</v>
      </c>
      <c r="J198" s="1">
        <v>130124.0</v>
      </c>
      <c r="K198" s="1">
        <v>8.0</v>
      </c>
      <c r="L198" s="1">
        <v>32492.0</v>
      </c>
      <c r="M198" s="1">
        <v>0.0</v>
      </c>
      <c r="N198" s="1">
        <v>24.0</v>
      </c>
      <c r="O198" s="1">
        <v>1.0</v>
      </c>
      <c r="P198" s="1">
        <v>1.0</v>
      </c>
      <c r="Q198" s="1">
        <v>2.0</v>
      </c>
      <c r="R198" s="1" t="s">
        <v>22</v>
      </c>
      <c r="S198" s="16">
        <v>634.0</v>
      </c>
      <c r="T198" s="1">
        <v>125980.0</v>
      </c>
      <c r="U198" s="1">
        <v>8.0</v>
      </c>
    </row>
    <row r="199">
      <c r="A199" s="1" t="s">
        <v>145</v>
      </c>
      <c r="B199" s="1">
        <v>93849.0</v>
      </c>
      <c r="C199" s="1">
        <v>0.0</v>
      </c>
      <c r="D199" s="1">
        <v>24.0</v>
      </c>
      <c r="E199" s="1">
        <v>1.0</v>
      </c>
      <c r="F199" s="1">
        <v>1.0</v>
      </c>
      <c r="G199" s="1">
        <v>3.0</v>
      </c>
      <c r="H199" s="1" t="s">
        <v>22</v>
      </c>
      <c r="I199" s="16">
        <v>874.0</v>
      </c>
      <c r="J199" s="1">
        <v>186562.0</v>
      </c>
      <c r="K199" s="1">
        <v>26.0</v>
      </c>
      <c r="L199" s="1">
        <v>41.0</v>
      </c>
      <c r="M199" s="1">
        <v>0.0</v>
      </c>
      <c r="N199" s="1">
        <v>35.0</v>
      </c>
      <c r="O199" s="1">
        <v>1.0</v>
      </c>
      <c r="P199" s="1">
        <v>3.0</v>
      </c>
      <c r="Q199" s="1">
        <v>0.0</v>
      </c>
      <c r="R199" s="1" t="s">
        <v>22</v>
      </c>
      <c r="S199" s="1"/>
    </row>
    <row r="200">
      <c r="A200" s="1" t="s">
        <v>146</v>
      </c>
      <c r="B200" s="1">
        <v>55331.0</v>
      </c>
      <c r="C200" s="1">
        <v>0.0</v>
      </c>
      <c r="D200" s="1">
        <v>25.0</v>
      </c>
      <c r="E200" s="1">
        <v>2.0</v>
      </c>
      <c r="F200" s="1">
        <v>3.0</v>
      </c>
      <c r="G200" s="1">
        <v>47.0</v>
      </c>
      <c r="H200" s="1" t="s">
        <v>22</v>
      </c>
      <c r="I200" s="16">
        <v>904.0</v>
      </c>
      <c r="J200" s="1">
        <v>112737.0</v>
      </c>
      <c r="K200" s="1">
        <v>11.0</v>
      </c>
      <c r="L200" s="1">
        <v>54709.0</v>
      </c>
      <c r="M200" s="1">
        <v>0.0</v>
      </c>
      <c r="N200" s="1">
        <v>66.0</v>
      </c>
      <c r="O200" s="1">
        <v>1.0</v>
      </c>
      <c r="P200" s="1">
        <v>43.0</v>
      </c>
      <c r="Q200" s="1">
        <v>6.0</v>
      </c>
      <c r="R200" s="1" t="s">
        <v>22</v>
      </c>
      <c r="S200" s="16">
        <v>1158.0</v>
      </c>
      <c r="T200" s="1">
        <v>156165.0</v>
      </c>
      <c r="U200" s="1">
        <v>11.0</v>
      </c>
    </row>
    <row r="201">
      <c r="A201" s="1" t="s">
        <v>147</v>
      </c>
      <c r="B201" s="1">
        <v>44295.0</v>
      </c>
      <c r="C201" s="1">
        <v>0.0</v>
      </c>
      <c r="D201" s="1">
        <v>45.0</v>
      </c>
      <c r="E201" s="1">
        <v>5.0</v>
      </c>
      <c r="F201" s="1">
        <v>25.0</v>
      </c>
      <c r="G201" s="1">
        <v>21.0</v>
      </c>
      <c r="H201" s="1" t="s">
        <v>22</v>
      </c>
      <c r="I201" s="16">
        <v>1184.0</v>
      </c>
      <c r="J201" s="1">
        <v>189572.0</v>
      </c>
      <c r="K201" s="1">
        <v>12.0</v>
      </c>
      <c r="L201" s="1">
        <v>46639.0</v>
      </c>
      <c r="M201" s="1">
        <v>0.0</v>
      </c>
      <c r="N201" s="1">
        <v>33.0</v>
      </c>
      <c r="O201" s="1">
        <v>5.0</v>
      </c>
      <c r="P201" s="1">
        <v>41.0</v>
      </c>
      <c r="Q201" s="1">
        <v>8.0</v>
      </c>
      <c r="R201" s="1" t="s">
        <v>22</v>
      </c>
      <c r="S201" s="16">
        <v>939.0</v>
      </c>
      <c r="T201" s="1">
        <v>183045.0</v>
      </c>
      <c r="U201" s="1">
        <v>16.0</v>
      </c>
    </row>
    <row r="202">
      <c r="A202" s="1" t="s">
        <v>148</v>
      </c>
      <c r="B202" s="1">
        <v>53026.0</v>
      </c>
      <c r="C202" s="1">
        <v>0.0</v>
      </c>
      <c r="D202" s="1">
        <v>24.0</v>
      </c>
      <c r="E202" s="1">
        <v>1.0</v>
      </c>
      <c r="F202" s="1">
        <v>1.0</v>
      </c>
      <c r="G202" s="1">
        <v>13.0</v>
      </c>
      <c r="H202" s="1" t="s">
        <v>22</v>
      </c>
      <c r="I202" s="16">
        <v>991.0</v>
      </c>
      <c r="J202" s="1">
        <v>136765.0</v>
      </c>
      <c r="K202" s="1">
        <v>13.0</v>
      </c>
      <c r="L202" s="1">
        <v>64836.0</v>
      </c>
      <c r="M202" s="1">
        <v>0.0</v>
      </c>
      <c r="N202" s="1">
        <v>25.0</v>
      </c>
      <c r="O202" s="1">
        <v>2.0</v>
      </c>
      <c r="P202" s="1">
        <v>3.0</v>
      </c>
      <c r="Q202" s="1">
        <v>85.0</v>
      </c>
      <c r="R202" s="1" t="s">
        <v>22</v>
      </c>
      <c r="S202" s="16">
        <v>970.0</v>
      </c>
      <c r="T202" s="1">
        <v>82186.0</v>
      </c>
      <c r="U202" s="1">
        <v>9.0</v>
      </c>
    </row>
    <row r="203">
      <c r="A203" s="1" t="s">
        <v>132</v>
      </c>
      <c r="B203" s="1">
        <v>42618.0</v>
      </c>
      <c r="C203" s="1">
        <v>0.0</v>
      </c>
      <c r="D203" s="1">
        <v>27.0</v>
      </c>
      <c r="E203" s="1">
        <v>104.0</v>
      </c>
      <c r="F203" s="1">
        <v>107.0</v>
      </c>
      <c r="G203" s="1">
        <v>0.0</v>
      </c>
      <c r="H203" s="1" t="s">
        <v>22</v>
      </c>
      <c r="I203" s="16">
        <v>1367.0</v>
      </c>
      <c r="J203" s="1">
        <v>151851.0</v>
      </c>
      <c r="K203" s="1">
        <v>10.0</v>
      </c>
      <c r="L203" s="1">
        <v>41525.0</v>
      </c>
      <c r="M203" s="1">
        <v>0.0</v>
      </c>
      <c r="N203" s="1">
        <v>27.0</v>
      </c>
      <c r="O203" s="1">
        <v>4.0</v>
      </c>
      <c r="P203" s="1">
        <v>7.0</v>
      </c>
      <c r="Q203" s="1">
        <v>3.0</v>
      </c>
      <c r="R203" s="1" t="s">
        <v>22</v>
      </c>
      <c r="S203" s="16">
        <v>834.0</v>
      </c>
      <c r="T203" s="1">
        <v>145417.0</v>
      </c>
      <c r="U203" s="1">
        <v>10.0</v>
      </c>
    </row>
    <row r="204">
      <c r="A204" s="1" t="s">
        <v>149</v>
      </c>
      <c r="B204" s="1">
        <v>68223.0</v>
      </c>
      <c r="C204" s="1">
        <v>0.0</v>
      </c>
      <c r="D204" s="1">
        <v>24.0</v>
      </c>
      <c r="E204" s="1">
        <v>2.0</v>
      </c>
      <c r="F204" s="1">
        <v>2.0</v>
      </c>
      <c r="G204" s="1">
        <v>2.0</v>
      </c>
      <c r="H204" s="1" t="s">
        <v>22</v>
      </c>
      <c r="I204" s="17"/>
      <c r="J204" s="1">
        <v>147528.0</v>
      </c>
      <c r="K204" s="1">
        <v>11.0</v>
      </c>
      <c r="L204" s="1">
        <v>68053.0</v>
      </c>
      <c r="M204" s="1">
        <v>0.0</v>
      </c>
      <c r="N204" s="1">
        <v>24.0</v>
      </c>
      <c r="O204" s="1">
        <v>1.0</v>
      </c>
      <c r="P204" s="1">
        <v>1.0</v>
      </c>
      <c r="Q204" s="1">
        <v>0.0</v>
      </c>
      <c r="R204" s="1" t="s">
        <v>22</v>
      </c>
      <c r="S204" s="16">
        <v>1370.0</v>
      </c>
      <c r="T204" s="1">
        <v>360285.0</v>
      </c>
      <c r="U204" s="1">
        <v>22.0</v>
      </c>
    </row>
    <row r="205">
      <c r="A205" s="1" t="s">
        <v>150</v>
      </c>
      <c r="B205" s="1">
        <v>55107.0</v>
      </c>
      <c r="C205" s="1">
        <v>0.0</v>
      </c>
      <c r="D205" s="1">
        <v>24.0</v>
      </c>
      <c r="E205" s="1">
        <v>1.0</v>
      </c>
      <c r="F205" s="1">
        <v>1.0</v>
      </c>
      <c r="G205" s="1">
        <v>93.0</v>
      </c>
      <c r="H205" s="1" t="s">
        <v>22</v>
      </c>
      <c r="I205" s="16">
        <v>822.0</v>
      </c>
      <c r="J205" s="1">
        <v>88121.0</v>
      </c>
      <c r="K205" s="1">
        <v>7.0</v>
      </c>
      <c r="L205" s="1">
        <v>55077.0</v>
      </c>
      <c r="M205" s="1">
        <v>0.0</v>
      </c>
      <c r="N205" s="1">
        <v>24.0</v>
      </c>
      <c r="O205" s="1">
        <v>1.0</v>
      </c>
      <c r="P205" s="1">
        <v>1.0</v>
      </c>
      <c r="Q205" s="1">
        <v>0.0</v>
      </c>
      <c r="R205" s="1" t="s">
        <v>22</v>
      </c>
      <c r="S205" s="1">
        <v>1189.0</v>
      </c>
      <c r="T205" s="1">
        <v>150403.0</v>
      </c>
      <c r="U205" s="1">
        <v>12.0</v>
      </c>
    </row>
    <row r="206">
      <c r="A206" s="1" t="s">
        <v>162</v>
      </c>
      <c r="B206" s="1">
        <v>34191.0</v>
      </c>
      <c r="C206" s="1">
        <v>0.0</v>
      </c>
      <c r="D206" s="1">
        <v>24.0</v>
      </c>
      <c r="E206" s="1">
        <v>1.0</v>
      </c>
      <c r="F206" s="1">
        <v>1.0</v>
      </c>
      <c r="G206" s="1">
        <v>0.0</v>
      </c>
      <c r="H206" s="1" t="s">
        <v>22</v>
      </c>
      <c r="I206" s="16">
        <v>696.0</v>
      </c>
      <c r="J206" s="1">
        <v>121779.0</v>
      </c>
      <c r="K206" s="1">
        <v>8.0</v>
      </c>
      <c r="L206" s="1">
        <v>33723.0</v>
      </c>
      <c r="M206" s="1">
        <v>0.0</v>
      </c>
      <c r="N206" s="1">
        <v>27.0</v>
      </c>
      <c r="O206" s="1">
        <v>1.0</v>
      </c>
      <c r="P206" s="1">
        <v>4.0</v>
      </c>
      <c r="Q206" s="1">
        <v>5.0</v>
      </c>
      <c r="R206" s="1" t="s">
        <v>22</v>
      </c>
      <c r="S206" s="1">
        <v>800.0</v>
      </c>
      <c r="T206" s="1">
        <v>204332.0</v>
      </c>
      <c r="U206" s="1">
        <v>9.0</v>
      </c>
    </row>
    <row r="207">
      <c r="A207" s="1" t="s">
        <v>152</v>
      </c>
      <c r="B207" s="1">
        <v>41188.0</v>
      </c>
      <c r="C207" s="1">
        <v>0.0</v>
      </c>
      <c r="D207" s="1">
        <v>24.0</v>
      </c>
      <c r="E207" s="1">
        <v>1.0</v>
      </c>
      <c r="F207" s="1">
        <v>1.0</v>
      </c>
      <c r="G207" s="1">
        <v>68.0</v>
      </c>
      <c r="H207" s="1" t="s">
        <v>22</v>
      </c>
      <c r="I207" s="16">
        <v>993.0</v>
      </c>
      <c r="J207" s="1">
        <v>144098.0</v>
      </c>
      <c r="K207" s="1">
        <v>8.0</v>
      </c>
      <c r="L207" s="1">
        <v>44285.0</v>
      </c>
      <c r="M207" s="1">
        <v>0.0</v>
      </c>
      <c r="N207" s="1">
        <v>37.0</v>
      </c>
      <c r="O207" s="1">
        <v>1.0</v>
      </c>
      <c r="P207" s="1">
        <v>14.0</v>
      </c>
      <c r="Q207" s="1">
        <v>0.0</v>
      </c>
      <c r="R207" s="1" t="s">
        <v>22</v>
      </c>
      <c r="S207" s="1">
        <v>1096.0</v>
      </c>
      <c r="T207" s="1">
        <v>430619.0</v>
      </c>
      <c r="U207" s="1">
        <v>16.0</v>
      </c>
    </row>
    <row r="208">
      <c r="K208" s="16" t="str">
        <f>IF(A208=A406, B406, "")</f>
        <v/>
      </c>
      <c r="T208" s="1"/>
      <c r="U208" s="1"/>
    </row>
    <row r="209">
      <c r="K209" s="16" t="str">
        <f t="shared" ref="K209:K212" si="8">IF(V30=A407, B407, "")</f>
        <v/>
      </c>
    </row>
    <row r="210">
      <c r="K210" s="16" t="str">
        <f t="shared" si="8"/>
        <v/>
      </c>
    </row>
    <row r="211">
      <c r="K211" s="16" t="str">
        <f t="shared" si="8"/>
        <v/>
      </c>
    </row>
    <row r="212">
      <c r="K212" s="16" t="str">
        <f t="shared" si="8"/>
        <v/>
      </c>
    </row>
    <row r="213">
      <c r="K213" s="16" t="str">
        <f t="shared" ref="K213:K262" si="9">IF(V35=A411, B411, "")</f>
        <v/>
      </c>
    </row>
    <row r="214">
      <c r="K214" s="16" t="str">
        <f t="shared" si="9"/>
        <v/>
      </c>
    </row>
    <row r="215">
      <c r="K215" s="16" t="str">
        <f t="shared" si="9"/>
        <v/>
      </c>
    </row>
    <row r="216">
      <c r="K216" s="16" t="str">
        <f t="shared" si="9"/>
        <v/>
      </c>
    </row>
    <row r="217">
      <c r="K217" s="16" t="str">
        <f t="shared" si="9"/>
        <v/>
      </c>
    </row>
    <row r="218">
      <c r="K218" s="16" t="str">
        <f t="shared" si="9"/>
        <v/>
      </c>
    </row>
    <row r="219">
      <c r="K219" s="16" t="str">
        <f t="shared" si="9"/>
        <v/>
      </c>
    </row>
    <row r="220">
      <c r="K220" s="16" t="str">
        <f t="shared" si="9"/>
        <v/>
      </c>
    </row>
    <row r="221">
      <c r="K221" s="16" t="str">
        <f t="shared" si="9"/>
        <v/>
      </c>
    </row>
    <row r="222">
      <c r="K222" s="16" t="str">
        <f t="shared" si="9"/>
        <v/>
      </c>
    </row>
    <row r="223">
      <c r="K223" s="16" t="str">
        <f t="shared" si="9"/>
        <v/>
      </c>
    </row>
    <row r="224">
      <c r="K224" s="16" t="str">
        <f t="shared" si="9"/>
        <v/>
      </c>
    </row>
    <row r="225">
      <c r="K225" s="16" t="str">
        <f t="shared" si="9"/>
        <v/>
      </c>
    </row>
    <row r="226">
      <c r="K226" s="16" t="str">
        <f t="shared" si="9"/>
        <v/>
      </c>
    </row>
    <row r="227">
      <c r="K227" s="16" t="str">
        <f t="shared" si="9"/>
        <v/>
      </c>
    </row>
    <row r="228">
      <c r="K228" s="16" t="str">
        <f t="shared" si="9"/>
        <v/>
      </c>
    </row>
    <row r="229">
      <c r="K229" s="16" t="str">
        <f t="shared" si="9"/>
        <v/>
      </c>
    </row>
    <row r="230">
      <c r="K230" s="16" t="str">
        <f t="shared" si="9"/>
        <v/>
      </c>
    </row>
    <row r="231">
      <c r="K231" s="16" t="str">
        <f t="shared" si="9"/>
        <v/>
      </c>
    </row>
    <row r="232">
      <c r="K232" s="16" t="str">
        <f t="shared" si="9"/>
        <v/>
      </c>
    </row>
    <row r="233">
      <c r="K233" s="16" t="str">
        <f t="shared" si="9"/>
        <v/>
      </c>
    </row>
    <row r="234">
      <c r="K234" s="16" t="str">
        <f t="shared" si="9"/>
        <v/>
      </c>
    </row>
    <row r="235">
      <c r="K235" s="16" t="str">
        <f t="shared" si="9"/>
        <v/>
      </c>
    </row>
    <row r="236">
      <c r="K236" s="16" t="str">
        <f t="shared" si="9"/>
        <v/>
      </c>
    </row>
    <row r="237">
      <c r="K237" s="16" t="str">
        <f t="shared" si="9"/>
        <v/>
      </c>
    </row>
    <row r="238">
      <c r="K238" s="16" t="str">
        <f t="shared" si="9"/>
        <v/>
      </c>
    </row>
    <row r="239">
      <c r="K239" s="16" t="str">
        <f t="shared" si="9"/>
        <v/>
      </c>
    </row>
    <row r="240">
      <c r="K240" s="16" t="str">
        <f t="shared" si="9"/>
        <v/>
      </c>
    </row>
    <row r="241">
      <c r="K241" s="16" t="str">
        <f t="shared" si="9"/>
        <v/>
      </c>
    </row>
    <row r="242">
      <c r="K242" s="16" t="str">
        <f t="shared" si="9"/>
        <v/>
      </c>
    </row>
    <row r="243">
      <c r="K243" s="16" t="str">
        <f t="shared" si="9"/>
        <v/>
      </c>
    </row>
    <row r="244">
      <c r="K244" s="16" t="str">
        <f t="shared" si="9"/>
        <v/>
      </c>
    </row>
    <row r="245">
      <c r="K245" s="16" t="str">
        <f t="shared" si="9"/>
        <v/>
      </c>
    </row>
    <row r="246">
      <c r="K246" s="16" t="str">
        <f t="shared" si="9"/>
        <v/>
      </c>
    </row>
    <row r="247">
      <c r="K247" s="16" t="str">
        <f t="shared" si="9"/>
        <v/>
      </c>
    </row>
    <row r="248">
      <c r="K248" s="16" t="str">
        <f t="shared" si="9"/>
        <v/>
      </c>
    </row>
    <row r="249">
      <c r="K249" s="16" t="str">
        <f t="shared" si="9"/>
        <v/>
      </c>
    </row>
    <row r="250">
      <c r="K250" s="16" t="str">
        <f t="shared" si="9"/>
        <v/>
      </c>
    </row>
    <row r="251">
      <c r="K251" s="16" t="str">
        <f t="shared" si="9"/>
        <v/>
      </c>
    </row>
    <row r="252">
      <c r="K252" s="16" t="str">
        <f t="shared" si="9"/>
        <v/>
      </c>
    </row>
    <row r="253">
      <c r="K253" s="16" t="str">
        <f t="shared" si="9"/>
        <v/>
      </c>
    </row>
    <row r="254">
      <c r="K254" s="16" t="str">
        <f t="shared" si="9"/>
        <v/>
      </c>
    </row>
    <row r="255">
      <c r="K255" s="16" t="str">
        <f t="shared" si="9"/>
        <v/>
      </c>
    </row>
    <row r="256">
      <c r="K256" s="16" t="str">
        <f t="shared" si="9"/>
        <v/>
      </c>
    </row>
    <row r="257">
      <c r="K257" s="16" t="str">
        <f t="shared" si="9"/>
        <v/>
      </c>
    </row>
    <row r="258">
      <c r="K258" s="16" t="str">
        <f t="shared" si="9"/>
        <v/>
      </c>
    </row>
    <row r="259">
      <c r="K259" s="16" t="str">
        <f t="shared" si="9"/>
        <v/>
      </c>
    </row>
    <row r="260">
      <c r="K260" s="16" t="str">
        <f t="shared" si="9"/>
        <v/>
      </c>
    </row>
    <row r="261">
      <c r="K261" s="16" t="str">
        <f t="shared" si="9"/>
        <v/>
      </c>
    </row>
    <row r="262">
      <c r="K262" s="16" t="str">
        <f t="shared" si="9"/>
        <v/>
      </c>
    </row>
    <row r="263">
      <c r="K263" s="16" t="str">
        <f t="shared" ref="K263:K293" si="10">IF(A263=A461, B461, "")</f>
        <v/>
      </c>
    </row>
    <row r="264">
      <c r="K264" s="16" t="str">
        <f t="shared" si="10"/>
        <v/>
      </c>
    </row>
    <row r="265">
      <c r="K265" s="16" t="str">
        <f t="shared" si="10"/>
        <v/>
      </c>
    </row>
    <row r="266">
      <c r="K266" s="16" t="str">
        <f t="shared" si="10"/>
        <v/>
      </c>
    </row>
    <row r="267">
      <c r="K267" s="16" t="str">
        <f t="shared" si="10"/>
        <v/>
      </c>
    </row>
    <row r="268">
      <c r="K268" s="16" t="str">
        <f t="shared" si="10"/>
        <v/>
      </c>
    </row>
    <row r="269">
      <c r="K269" s="16" t="str">
        <f t="shared" si="10"/>
        <v/>
      </c>
    </row>
    <row r="270">
      <c r="K270" s="16" t="str">
        <f t="shared" si="10"/>
        <v/>
      </c>
    </row>
    <row r="271">
      <c r="K271" s="16" t="str">
        <f t="shared" si="10"/>
        <v/>
      </c>
    </row>
    <row r="272">
      <c r="K272" s="16" t="str">
        <f t="shared" si="10"/>
        <v/>
      </c>
    </row>
    <row r="273">
      <c r="K273" s="16" t="str">
        <f t="shared" si="10"/>
        <v/>
      </c>
    </row>
    <row r="274">
      <c r="K274" s="16" t="str">
        <f t="shared" si="10"/>
        <v/>
      </c>
    </row>
    <row r="275">
      <c r="K275" s="16" t="str">
        <f t="shared" si="10"/>
        <v/>
      </c>
    </row>
    <row r="276">
      <c r="K276" s="16" t="str">
        <f t="shared" si="10"/>
        <v/>
      </c>
    </row>
    <row r="277">
      <c r="K277" s="16" t="str">
        <f t="shared" si="10"/>
        <v/>
      </c>
    </row>
    <row r="278">
      <c r="K278" s="16" t="str">
        <f t="shared" si="10"/>
        <v/>
      </c>
    </row>
    <row r="279">
      <c r="K279" s="16" t="str">
        <f t="shared" si="10"/>
        <v/>
      </c>
    </row>
    <row r="280">
      <c r="K280" s="16" t="str">
        <f t="shared" si="10"/>
        <v/>
      </c>
    </row>
    <row r="281">
      <c r="K281" s="16" t="str">
        <f t="shared" si="10"/>
        <v/>
      </c>
    </row>
    <row r="282">
      <c r="K282" s="16" t="str">
        <f t="shared" si="10"/>
        <v/>
      </c>
    </row>
    <row r="283">
      <c r="K283" s="16" t="str">
        <f t="shared" si="10"/>
        <v/>
      </c>
    </row>
    <row r="284">
      <c r="K284" s="16" t="str">
        <f t="shared" si="10"/>
        <v/>
      </c>
    </row>
    <row r="285">
      <c r="K285" s="16" t="str">
        <f t="shared" si="10"/>
        <v/>
      </c>
    </row>
    <row r="286">
      <c r="K286" s="16" t="str">
        <f t="shared" si="10"/>
        <v/>
      </c>
    </row>
    <row r="287">
      <c r="K287" s="16" t="str">
        <f t="shared" si="10"/>
        <v/>
      </c>
    </row>
    <row r="288">
      <c r="K288" s="16" t="str">
        <f t="shared" si="10"/>
        <v/>
      </c>
    </row>
    <row r="289">
      <c r="K289" s="16" t="str">
        <f t="shared" si="10"/>
        <v/>
      </c>
    </row>
    <row r="290">
      <c r="K290" s="16" t="str">
        <f t="shared" si="10"/>
        <v/>
      </c>
    </row>
    <row r="291">
      <c r="K291" s="16" t="str">
        <f t="shared" si="10"/>
        <v/>
      </c>
    </row>
    <row r="292">
      <c r="K292" s="16" t="str">
        <f t="shared" si="10"/>
        <v/>
      </c>
    </row>
    <row r="293">
      <c r="K293" s="16" t="str">
        <f t="shared" si="10"/>
        <v/>
      </c>
    </row>
  </sheetData>
  <mergeCells count="12">
    <mergeCell ref="W1:AF1"/>
    <mergeCell ref="AG1:AP1"/>
    <mergeCell ref="L1:U1"/>
    <mergeCell ref="W33:X33"/>
    <mergeCell ref="Y33:Z33"/>
    <mergeCell ref="B1:K1"/>
    <mergeCell ref="B52:K52"/>
    <mergeCell ref="L52:U52"/>
    <mergeCell ref="B104:K104"/>
    <mergeCell ref="L104:U104"/>
    <mergeCell ref="B156:K156"/>
    <mergeCell ref="L156:U15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
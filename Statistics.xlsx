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<sst xmlns="http://schemas.openxmlformats.org/spreadsheetml/2006/main" count="574" uniqueCount="82">
  <si>
    <t>Size (bytes)</t>
  </si>
  <si>
    <t>Pages</t>
  </si>
  <si>
    <t>Gemini Errors</t>
  </si>
  <si>
    <t>Status</t>
  </si>
  <si>
    <t>Comparison Results</t>
  </si>
  <si>
    <t>.tex Files Size</t>
  </si>
  <si>
    <t>.pdf File Sizes</t>
  </si>
  <si>
    <t>Pages in PDF</t>
  </si>
  <si>
    <t>ChatGPT Errors</t>
  </si>
  <si>
    <t>Qwen Errors</t>
  </si>
  <si>
    <t>DeepSeek Errors</t>
  </si>
  <si>
    <t>Grand Totals</t>
  </si>
  <si>
    <t>Max</t>
  </si>
  <si>
    <t>Average # Errors</t>
  </si>
  <si>
    <t>Average</t>
  </si>
  <si>
    <t>Success Rate</t>
  </si>
  <si>
    <t>Min</t>
  </si>
  <si>
    <t>Max # Errors</t>
  </si>
  <si>
    <t>Unscanned(EMNLP)</t>
  </si>
  <si>
    <t>Successes</t>
  </si>
  <si>
    <t>2023_emnlp-main_118.pdf</t>
  </si>
  <si>
    <t>TIMEOUT</t>
  </si>
  <si>
    <t>FAILED</t>
  </si>
  <si>
    <t>SUCCESS</t>
  </si>
  <si>
    <t>2023_emnlp-main_124.pdf</t>
  </si>
  <si>
    <t>2023_emnlp-main_638.pdf</t>
  </si>
  <si>
    <t>2024_emnlp-main_147.pdf</t>
  </si>
  <si>
    <t>2024_emnlp-main_156.pdf</t>
  </si>
  <si>
    <t>2024_emnlp-main_228.pdf</t>
  </si>
  <si>
    <t>2024_emnlp-main_238.pdf</t>
  </si>
  <si>
    <t>2024_emnlp-main_260.pdf</t>
  </si>
  <si>
    <t>2024_emnlp-main_293.pdf</t>
  </si>
  <si>
    <t>2024_emnlp-main_302.pdf</t>
  </si>
  <si>
    <t>2024_emnlp-main_324.pdf</t>
  </si>
  <si>
    <t>2024_emnlp-main_336.pdf</t>
  </si>
  <si>
    <t>2024_emnlp-main_339.pdf</t>
  </si>
  <si>
    <t>2024_emnlp-main_362.pdf</t>
  </si>
  <si>
    <t>2024_emnlp-main_431.pdf</t>
  </si>
  <si>
    <t>2024_emnlp-main_445.pdf</t>
  </si>
  <si>
    <t>2024_emnlp-main_508.pdf</t>
  </si>
  <si>
    <t>2024_emnlp-main_524.pdf</t>
  </si>
  <si>
    <t>2024_emnlp-main_553.pdf</t>
  </si>
  <si>
    <t>2024_emnlp-main_614.pdf</t>
  </si>
  <si>
    <t>ERROR</t>
  </si>
  <si>
    <t>2024_emnlp-main_635.pdf</t>
  </si>
  <si>
    <t>2024_emnlp-main_663.pdf</t>
  </si>
  <si>
    <t>2024_emnlp-main_672.pdf</t>
  </si>
  <si>
    <t>2024_emnlp-main_701.pdf</t>
  </si>
  <si>
    <t>2024_emnlp-main_704.pdf</t>
  </si>
  <si>
    <t>2024_emnlp-main_730.pdf</t>
  </si>
  <si>
    <t>2024_emnlp-main_733.pdf</t>
  </si>
  <si>
    <t>2024_emnlp-main_767.pdf</t>
  </si>
  <si>
    <t>2024_emnlp-main_773.pdf</t>
  </si>
  <si>
    <t>2024_emnlp-main_830.pdf</t>
  </si>
  <si>
    <t>2024_emnlp-main_831.pdf</t>
  </si>
  <si>
    <t>FAILURE</t>
  </si>
  <si>
    <t>2024_emnlp-main_869.pdf</t>
  </si>
  <si>
    <t>2024_emnlp-main_882.pdf</t>
  </si>
  <si>
    <t>2024_emnlp-main_888.pdf</t>
  </si>
  <si>
    <t>2024_emnlp-main_915.pdf</t>
  </si>
  <si>
    <t>#######</t>
  </si>
  <si>
    <t>2024_emnlp-main_924.pdf</t>
  </si>
  <si>
    <t>2024_emnlp-main_942.pdf</t>
  </si>
  <si>
    <t>2024_emnlp-main_991.pdf</t>
  </si>
  <si>
    <t>2024_emnlp-main_1022.pdf</t>
  </si>
  <si>
    <t>2024_emnlp-main_1025.pdf</t>
  </si>
  <si>
    <t>2024_emnlp-main_1026.pdf</t>
  </si>
  <si>
    <t>2024_emnlp-main_1055.pdf</t>
  </si>
  <si>
    <t>2024_emnlp-main_1067.pdf</t>
  </si>
  <si>
    <t>2024_emnlp-main_1069.pdf</t>
  </si>
  <si>
    <t>2024_emnlp-main_1088.pdf</t>
  </si>
  <si>
    <t>2024_emnlp-main_1127.pdf</t>
  </si>
  <si>
    <t>2024_emnlp-main_1156.pdf</t>
  </si>
  <si>
    <t>EstablishingTrustworthiness.pdf</t>
  </si>
  <si>
    <t>PrimacyEffectofChatGPT.pdf</t>
  </si>
  <si>
    <t>T5ModelsForAfricanLanguages.pdf</t>
  </si>
  <si>
    <t>Scanned(EMNLP)</t>
  </si>
  <si>
    <t>-</t>
  </si>
  <si>
    <t>Unscanned(EMNLP) - Long Prompt</t>
  </si>
  <si>
    <t>ChatGPT</t>
  </si>
  <si>
    <t>Qwen</t>
  </si>
  <si>
    <t>Scanned(EMNLP) - Long Prompt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</si>
</sst>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color theme="1"/>
      <name val="Arial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0" fillId="0" fontId="1" numFmtId="0" xfId="0" applyFont="1"/>
    <xf borderId="0" fillId="0" fontId="1" numFmtId="3" xfId="0" applyFont="1" applyNumberFormat="1"/>
    <xf borderId="0" fillId="0" fontId="1" numFmtId="2" xfId="0" applyFont="1" applyNumberFormat="1"/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3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Errors vs Size (DeepSeek)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Sheet1!$Z$6:$Z$55</c:f>
              <c:numCache/>
            </c:numRef>
          </c:val>
          <c:smooth val="0"/>
        </c:ser>
        <c:axId val="543431585"/>
        <c:axId val="567925493"/>
      </c:lineChart>
      <c:catAx>
        <c:axId val="5434315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7925493"/>
      </c:catAx>
      <c:valAx>
        <c:axId val="5679254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4315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Errors vs Size (Qwen)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Sheet1!$S$6:$S$55</c:f>
              <c:numCache/>
            </c:numRef>
          </c:val>
          <c:smooth val="0"/>
        </c:ser>
        <c:axId val="2138208126"/>
        <c:axId val="1221694137"/>
      </c:lineChart>
      <c:catAx>
        <c:axId val="2138208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1694137"/>
      </c:catAx>
      <c:valAx>
        <c:axId val="1221694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82081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Errors vs Size (ChatGPT)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Sheet1!$L$6:$L$55</c:f>
              <c:numCache/>
            </c:numRef>
          </c:val>
          <c:smooth val="0"/>
        </c:ser>
        <c:axId val="1529720173"/>
        <c:axId val="228492942"/>
      </c:lineChart>
      <c:catAx>
        <c:axId val="15297201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8492942"/>
      </c:catAx>
      <c:valAx>
        <c:axId val="228492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97201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Errors vs Size (Gemini)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Sheet1!$E$6:$E$55</c:f>
              <c:numCache/>
            </c:numRef>
          </c:val>
          <c:smooth val="0"/>
        </c:ser>
        <c:axId val="314938560"/>
        <c:axId val="836702227"/>
      </c:lineChart>
      <c:catAx>
        <c:axId val="314938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6702227"/>
      </c:catAx>
      <c:valAx>
        <c:axId val="8367022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9385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Errors vs Differences (DeepSeek)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Sheet1!$AB$62:$AB$111</c:f>
            </c:numRef>
          </c:xVal>
          <c:yVal>
            <c:numRef>
              <c:f>Sheet1!$Z$62:$Z$111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968012"/>
        <c:axId val="1911359590"/>
      </c:scatterChart>
      <c:valAx>
        <c:axId val="19096801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Differences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359590"/>
      </c:valAx>
      <c:valAx>
        <c:axId val="19113595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Errors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9680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Qwen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Sheet1!$U$62:$U$111</c:f>
            </c:numRef>
          </c:xVal>
          <c:yVal>
            <c:numRef>
              <c:f>Sheet1!$S$62:$S$111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213259"/>
        <c:axId val="1571519697"/>
      </c:scatterChart>
      <c:valAx>
        <c:axId val="185221325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1519697"/>
      </c:valAx>
      <c:valAx>
        <c:axId val="1571519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22132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ChatGPT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Sheet1!$N$62:$N$111</c:f>
            </c:numRef>
          </c:xVal>
          <c:yVal>
            <c:numRef>
              <c:f>Sheet1!$L$62:$L$111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0608264"/>
        <c:axId val="1689001167"/>
      </c:scatterChart>
      <c:valAx>
        <c:axId val="153060826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9001167"/>
      </c:valAx>
      <c:valAx>
        <c:axId val="1689001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0608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Gemini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Sheet1!$AQ$75</c:f>
            </c:numRef>
          </c:xVal>
          <c:yVal>
            <c:numRef>
              <c:f>Sheet1!$G$62:$G$111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360737"/>
        <c:axId val="990199403"/>
      </c:scatterChart>
      <c:valAx>
        <c:axId val="178036073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0199403"/>
      </c:valAx>
      <c:valAx>
        <c:axId val="9901994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03607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image" Target="../media/Chart10.png"/><Relationship Id="rId9" Type="http://schemas.openxmlformats.org/officeDocument/2006/relationships/image" Target="../media/Chart9.png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47625</xdr:colOff>
      <xdr:row>0</xdr:row>
      <xdr:rowOff>76200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</xdr:colOff>
      <xdr:row>0</xdr:row>
      <xdr:rowOff>76200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47625</xdr:colOff>
      <xdr:row>17</xdr:row>
      <xdr:rowOff>161925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38100</xdr:colOff>
      <xdr:row>17</xdr:row>
      <xdr:rowOff>161925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28575</xdr:colOff>
      <xdr:row>35</xdr:row>
      <xdr:rowOff>180975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6</xdr:col>
      <xdr:colOff>28575</xdr:colOff>
      <xdr:row>35</xdr:row>
      <xdr:rowOff>171450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0</xdr:col>
      <xdr:colOff>47625</xdr:colOff>
      <xdr:row>53</xdr:row>
      <xdr:rowOff>190500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6</xdr:col>
      <xdr:colOff>47625</xdr:colOff>
      <xdr:row>53</xdr:row>
      <xdr:rowOff>171450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12</xdr:col>
      <xdr:colOff>28575</xdr:colOff>
      <xdr:row>0</xdr:row>
      <xdr:rowOff>152400</xdr:rowOff>
    </xdr:from>
    <xdr:ext cx="5715000" cy="3533775"/>
    <xdr:pic>
      <xdr:nvPicPr>
        <xdr:cNvPr id="777485737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47625</xdr:colOff>
      <xdr:row>18</xdr:row>
      <xdr:rowOff>152400</xdr:rowOff>
    </xdr:from>
    <xdr:ext cx="5715000" cy="3533775"/>
    <xdr:pic>
      <xdr:nvPicPr>
        <xdr:cNvPr id="1572029239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18.13"/>
    <col customWidth="1" min="3" max="3" width="6.38"/>
    <col customWidth="1" min="4" max="4" width="22.13"/>
    <col customWidth="1" min="5" max="5" width="12.25"/>
    <col customWidth="1" min="6" max="6" width="10.5"/>
    <col customWidth="1" min="7" max="11" width="16.38"/>
    <col customWidth="1" min="12" max="12" width="13.5"/>
    <col customWidth="1" min="13" max="13" width="10.25"/>
    <col customWidth="1" min="14" max="18" width="16.13"/>
    <col customWidth="1" min="19" max="19" width="11.5"/>
    <col customWidth="1" min="20" max="20" width="10.38"/>
    <col customWidth="1" min="21" max="25" width="16.38"/>
    <col customWidth="1" min="26" max="26" width="14.88"/>
    <col customWidth="1" min="27" max="27" width="10.63"/>
    <col customWidth="1" min="28" max="32" width="16.5"/>
  </cols>
  <sheetData>
    <row r="1">
      <c r="B1" s="1" t="s">
        <v>0</v>
      </c>
      <c r="C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/>
      <c r="L1" s="1" t="s">
        <v>8</v>
      </c>
      <c r="M1" s="1" t="s">
        <v>3</v>
      </c>
      <c r="N1" s="1" t="s">
        <v>4</v>
      </c>
      <c r="O1" s="1" t="s">
        <v>5</v>
      </c>
      <c r="P1" s="1" t="s">
        <v>6</v>
      </c>
      <c r="Q1" s="1" t="s">
        <v>7</v>
      </c>
      <c r="R1" s="1"/>
      <c r="S1" s="1" t="s">
        <v>9</v>
      </c>
      <c r="T1" s="1" t="s">
        <v>3</v>
      </c>
      <c r="U1" s="1" t="s">
        <v>4</v>
      </c>
      <c r="V1" s="1" t="s">
        <v>5</v>
      </c>
      <c r="W1" s="1" t="s">
        <v>6</v>
      </c>
      <c r="X1" s="1" t="s">
        <v>7</v>
      </c>
      <c r="Y1" s="1"/>
      <c r="Z1" s="1" t="s">
        <v>10</v>
      </c>
      <c r="AA1" s="1" t="s">
        <v>3</v>
      </c>
      <c r="AB1" s="1" t="s">
        <v>4</v>
      </c>
      <c r="AC1" s="1" t="s">
        <v>5</v>
      </c>
      <c r="AD1" s="1" t="s">
        <v>6</v>
      </c>
      <c r="AE1" s="1" t="s">
        <v>7</v>
      </c>
      <c r="AF1" s="1"/>
      <c r="AG1" s="1" t="s">
        <v>11</v>
      </c>
    </row>
    <row r="2">
      <c r="A2" s="1" t="s">
        <v>12</v>
      </c>
      <c r="B2" s="2">
        <f t="shared" ref="B2:C2" si="1">MAX(B6:B57)</f>
        <v>352638</v>
      </c>
      <c r="C2" s="3">
        <f t="shared" si="1"/>
        <v>22</v>
      </c>
      <c r="D2" s="1" t="s">
        <v>13</v>
      </c>
      <c r="E2" s="3">
        <f>AVERAGE(E6:E55)</f>
        <v>30.96</v>
      </c>
      <c r="L2" s="3">
        <f>AVERAGE(L6:L55)</f>
        <v>117.78</v>
      </c>
      <c r="S2" s="3">
        <f>AVERAGE(S6:S55)</f>
        <v>20.32</v>
      </c>
      <c r="Z2" s="3">
        <f>AVERAGE(Z6:Z55)</f>
        <v>12.74</v>
      </c>
    </row>
    <row r="3">
      <c r="A3" s="1" t="s">
        <v>14</v>
      </c>
      <c r="B3" s="4">
        <f t="shared" ref="B3:C3" si="2">AVERAGE(B6:B55)</f>
        <v>269952.72</v>
      </c>
      <c r="C3" s="5">
        <f t="shared" si="2"/>
        <v>12.82</v>
      </c>
      <c r="D3" s="1" t="s">
        <v>15</v>
      </c>
      <c r="E3" s="3">
        <f>(COUNTIF(F6:F55, "SUCCESS") / 50)</f>
        <v>0.16</v>
      </c>
      <c r="L3" s="3">
        <f>(COUNTIF(M6:M55, "SUCCESS") / 50)</f>
        <v>0.16</v>
      </c>
      <c r="S3" s="3">
        <f>(COUNTIF(T6:T55, "SUCCESS") / 50)</f>
        <v>0.94</v>
      </c>
      <c r="Z3" s="3">
        <f>(COUNTIF(AA6:AA55, "SUCCESS") / 50)</f>
        <v>0.84</v>
      </c>
    </row>
    <row r="4">
      <c r="A4" s="1" t="s">
        <v>16</v>
      </c>
      <c r="B4" s="4">
        <f t="shared" ref="B4:C4" si="3">MIN(B6:B55)</f>
        <v>149354</v>
      </c>
      <c r="C4" s="3">
        <f t="shared" si="3"/>
        <v>7</v>
      </c>
      <c r="D4" s="1" t="s">
        <v>17</v>
      </c>
      <c r="E4" s="3">
        <f>MAX(E6:E55)</f>
        <v>323</v>
      </c>
      <c r="L4" s="3">
        <f>MAX(L6:L55)</f>
        <v>544</v>
      </c>
      <c r="S4" s="3">
        <f>MAX(S6:S55)</f>
        <v>176</v>
      </c>
      <c r="Z4" s="3">
        <f>MAX(Z6:Z55)</f>
        <v>159</v>
      </c>
    </row>
    <row r="5">
      <c r="A5" s="1" t="s">
        <v>18</v>
      </c>
      <c r="AG5" s="1" t="s">
        <v>19</v>
      </c>
    </row>
    <row r="6">
      <c r="A6" s="1" t="s">
        <v>20</v>
      </c>
      <c r="B6" s="2">
        <v>351330.0</v>
      </c>
      <c r="C6" s="1">
        <v>11.0</v>
      </c>
      <c r="E6" s="1">
        <v>3.0</v>
      </c>
      <c r="F6" s="1" t="s">
        <v>21</v>
      </c>
      <c r="G6" s="1"/>
      <c r="H6" s="6">
        <v>31598.0</v>
      </c>
      <c r="I6" s="6"/>
      <c r="J6" s="6"/>
      <c r="K6" s="6"/>
      <c r="L6" s="1">
        <v>175.0</v>
      </c>
      <c r="M6" s="1" t="s">
        <v>22</v>
      </c>
      <c r="N6" s="1"/>
      <c r="O6" s="6">
        <v>49808.0</v>
      </c>
      <c r="P6" s="6"/>
      <c r="Q6" s="6"/>
      <c r="R6" s="6"/>
      <c r="S6" s="1">
        <v>3.0</v>
      </c>
      <c r="T6" s="1" t="s">
        <v>23</v>
      </c>
      <c r="U6" s="1">
        <v>1493.0</v>
      </c>
      <c r="V6" s="6">
        <v>52775.0</v>
      </c>
      <c r="W6" s="6">
        <v>370035.0</v>
      </c>
      <c r="X6" s="6">
        <v>15.0</v>
      </c>
      <c r="Y6" s="6"/>
      <c r="Z6" s="1">
        <v>1.0</v>
      </c>
      <c r="AA6" s="1" t="s">
        <v>23</v>
      </c>
      <c r="AB6" s="1">
        <v>1361.0</v>
      </c>
      <c r="AC6" s="6">
        <v>44132.0</v>
      </c>
      <c r="AD6" s="6">
        <v>276238.0</v>
      </c>
      <c r="AE6" s="6">
        <v>11.0</v>
      </c>
      <c r="AF6" s="6"/>
      <c r="AG6" s="3">
        <f t="shared" ref="AG6:AG55" si="4">COUNTIF(E6:AA6, "SUCCESS")</f>
        <v>2</v>
      </c>
    </row>
    <row r="7">
      <c r="A7" s="1" t="s">
        <v>24</v>
      </c>
      <c r="B7" s="2">
        <v>352638.0</v>
      </c>
      <c r="C7" s="1">
        <v>12.0</v>
      </c>
      <c r="E7" s="1">
        <v>2.0</v>
      </c>
      <c r="F7" s="1" t="s">
        <v>21</v>
      </c>
      <c r="G7" s="1"/>
      <c r="H7" s="6">
        <v>10061.0</v>
      </c>
      <c r="I7" s="6"/>
      <c r="J7" s="6"/>
      <c r="K7" s="6"/>
      <c r="L7" s="1">
        <v>124.0</v>
      </c>
      <c r="M7" s="1" t="s">
        <v>22</v>
      </c>
      <c r="N7" s="1"/>
      <c r="O7" s="6">
        <v>51188.0</v>
      </c>
      <c r="P7" s="6"/>
      <c r="Q7" s="6"/>
      <c r="R7" s="6"/>
      <c r="S7" s="1">
        <v>15.0</v>
      </c>
      <c r="T7" s="1" t="s">
        <v>23</v>
      </c>
      <c r="U7" s="1">
        <v>1124.0</v>
      </c>
      <c r="V7" s="6">
        <v>52563.0</v>
      </c>
      <c r="W7" s="6">
        <v>422350.0</v>
      </c>
      <c r="X7" s="6">
        <v>17.0</v>
      </c>
      <c r="Y7" s="6"/>
      <c r="Z7" s="1">
        <v>1.0</v>
      </c>
      <c r="AA7" s="1" t="s">
        <v>23</v>
      </c>
      <c r="AB7" s="1">
        <v>913.0</v>
      </c>
      <c r="AC7" s="6">
        <v>46200.0</v>
      </c>
      <c r="AD7" s="6">
        <v>314169.0</v>
      </c>
      <c r="AE7" s="6">
        <v>10.0</v>
      </c>
      <c r="AF7" s="6"/>
      <c r="AG7" s="3">
        <f t="shared" si="4"/>
        <v>2</v>
      </c>
    </row>
    <row r="8">
      <c r="A8" s="1" t="s">
        <v>25</v>
      </c>
      <c r="B8" s="2">
        <v>351515.0</v>
      </c>
      <c r="C8" s="1">
        <v>13.0</v>
      </c>
      <c r="E8" s="1">
        <v>40.0</v>
      </c>
      <c r="F8" s="1" t="s">
        <v>21</v>
      </c>
      <c r="G8" s="1"/>
      <c r="H8" s="6">
        <v>49785.0</v>
      </c>
      <c r="I8" s="6"/>
      <c r="J8" s="6"/>
      <c r="K8" s="6"/>
      <c r="L8" s="1">
        <v>2.0</v>
      </c>
      <c r="M8" s="1" t="s">
        <v>22</v>
      </c>
      <c r="N8" s="1"/>
      <c r="O8" s="6">
        <v>54338.0</v>
      </c>
      <c r="P8" s="6"/>
      <c r="Q8" s="6"/>
      <c r="R8" s="6"/>
      <c r="S8" s="1">
        <v>5.0</v>
      </c>
      <c r="T8" s="1" t="s">
        <v>23</v>
      </c>
      <c r="U8" s="1">
        <v>1185.0</v>
      </c>
      <c r="V8" s="6">
        <v>59917.0</v>
      </c>
      <c r="W8" s="6">
        <v>155263.0</v>
      </c>
      <c r="X8" s="6">
        <v>13.0</v>
      </c>
      <c r="Y8" s="6"/>
      <c r="Z8" s="1">
        <v>2.0</v>
      </c>
      <c r="AA8" s="1" t="s">
        <v>23</v>
      </c>
      <c r="AB8" s="1">
        <v>1309.0</v>
      </c>
      <c r="AC8" s="6">
        <v>49929.0</v>
      </c>
      <c r="AD8" s="6">
        <v>186146.0</v>
      </c>
      <c r="AE8" s="6">
        <v>14.0</v>
      </c>
      <c r="AF8" s="6"/>
      <c r="AG8" s="3">
        <f t="shared" si="4"/>
        <v>2</v>
      </c>
    </row>
    <row r="9">
      <c r="A9" s="1" t="s">
        <v>26</v>
      </c>
      <c r="B9" s="2">
        <v>238497.0</v>
      </c>
      <c r="C9" s="1">
        <v>15.0</v>
      </c>
      <c r="E9" s="1">
        <v>103.0</v>
      </c>
      <c r="F9" s="1" t="s">
        <v>22</v>
      </c>
      <c r="G9" s="1"/>
      <c r="H9" s="6">
        <v>34911.0</v>
      </c>
      <c r="I9" s="6"/>
      <c r="J9" s="6"/>
      <c r="K9" s="6"/>
      <c r="L9" s="1">
        <v>3.0</v>
      </c>
      <c r="M9" s="1" t="s">
        <v>21</v>
      </c>
      <c r="N9" s="1"/>
      <c r="O9" s="6">
        <v>35935.0</v>
      </c>
      <c r="P9" s="6"/>
      <c r="Q9" s="6"/>
      <c r="R9" s="6"/>
      <c r="S9" s="1">
        <v>1.0</v>
      </c>
      <c r="T9" s="1" t="s">
        <v>23</v>
      </c>
      <c r="U9" s="1">
        <v>1320.0</v>
      </c>
      <c r="V9" s="6">
        <v>71340.0</v>
      </c>
      <c r="W9" s="6">
        <v>191837.0</v>
      </c>
      <c r="X9" s="6">
        <v>16.0</v>
      </c>
      <c r="Y9" s="6"/>
      <c r="Z9" s="1">
        <v>6.0</v>
      </c>
      <c r="AA9" s="1" t="s">
        <v>23</v>
      </c>
      <c r="AB9" s="1">
        <v>1243.0</v>
      </c>
      <c r="AC9" s="6">
        <v>54918.0</v>
      </c>
      <c r="AD9" s="6">
        <v>318750.0</v>
      </c>
      <c r="AE9" s="6">
        <v>13.0</v>
      </c>
      <c r="AF9" s="6"/>
      <c r="AG9" s="3">
        <f t="shared" si="4"/>
        <v>2</v>
      </c>
    </row>
    <row r="10">
      <c r="A10" s="1" t="s">
        <v>27</v>
      </c>
      <c r="B10" s="2">
        <v>297456.0</v>
      </c>
      <c r="C10" s="1">
        <v>13.0</v>
      </c>
      <c r="E10" s="1">
        <v>5.0</v>
      </c>
      <c r="F10" s="1" t="s">
        <v>22</v>
      </c>
      <c r="G10" s="1"/>
      <c r="H10" s="6">
        <v>29075.0</v>
      </c>
      <c r="I10" s="6"/>
      <c r="J10" s="6"/>
      <c r="K10" s="6"/>
      <c r="L10" s="1">
        <v>103.0</v>
      </c>
      <c r="M10" s="1" t="s">
        <v>22</v>
      </c>
      <c r="N10" s="1"/>
      <c r="O10" s="6">
        <v>63339.0</v>
      </c>
      <c r="P10" s="6"/>
      <c r="Q10" s="6"/>
      <c r="R10" s="6"/>
      <c r="S10" s="1">
        <v>1.0</v>
      </c>
      <c r="T10" s="1" t="s">
        <v>23</v>
      </c>
      <c r="U10" s="1">
        <v>179.0</v>
      </c>
      <c r="V10" s="6">
        <v>75188.0</v>
      </c>
      <c r="W10" s="6">
        <v>54243.0</v>
      </c>
      <c r="X10" s="6">
        <v>3.0</v>
      </c>
      <c r="Y10" s="6"/>
      <c r="Z10" s="1">
        <v>5.0</v>
      </c>
      <c r="AA10" s="1" t="s">
        <v>23</v>
      </c>
      <c r="AB10" s="1">
        <v>1239.0</v>
      </c>
      <c r="AC10" s="6">
        <v>60309.0</v>
      </c>
      <c r="AD10" s="6">
        <v>288163.0</v>
      </c>
      <c r="AE10" s="6">
        <v>16.0</v>
      </c>
      <c r="AF10" s="6"/>
      <c r="AG10" s="3">
        <f t="shared" si="4"/>
        <v>2</v>
      </c>
    </row>
    <row r="11">
      <c r="A11" s="1" t="s">
        <v>28</v>
      </c>
      <c r="B11" s="2">
        <v>269941.0</v>
      </c>
      <c r="C11" s="1">
        <v>9.0</v>
      </c>
      <c r="E11" s="1">
        <v>149.0</v>
      </c>
      <c r="F11" s="1" t="s">
        <v>22</v>
      </c>
      <c r="G11" s="1"/>
      <c r="H11" s="6">
        <v>36916.0</v>
      </c>
      <c r="I11" s="6"/>
      <c r="J11" s="6"/>
      <c r="K11" s="6"/>
      <c r="L11" s="1">
        <v>5.0</v>
      </c>
      <c r="M11" s="1" t="s">
        <v>22</v>
      </c>
      <c r="N11" s="1"/>
      <c r="O11" s="6">
        <v>39541.0</v>
      </c>
      <c r="P11" s="6"/>
      <c r="Q11" s="6"/>
      <c r="R11" s="6"/>
      <c r="S11" s="1">
        <v>3.0</v>
      </c>
      <c r="T11" s="1" t="s">
        <v>23</v>
      </c>
      <c r="U11" s="1">
        <v>907.0</v>
      </c>
      <c r="V11" s="6">
        <v>41582.0</v>
      </c>
      <c r="W11" s="6">
        <v>162320.0</v>
      </c>
      <c r="X11" s="6">
        <v>8.0</v>
      </c>
      <c r="Y11" s="6"/>
      <c r="Z11" s="1">
        <v>4.0</v>
      </c>
      <c r="AA11" s="1" t="s">
        <v>23</v>
      </c>
      <c r="AB11" s="1">
        <v>906.0</v>
      </c>
      <c r="AC11" s="6">
        <v>38944.0</v>
      </c>
      <c r="AD11" s="6">
        <v>189872.0</v>
      </c>
      <c r="AE11" s="6">
        <v>14.0</v>
      </c>
      <c r="AF11" s="6"/>
      <c r="AG11" s="3">
        <f t="shared" si="4"/>
        <v>2</v>
      </c>
    </row>
    <row r="12">
      <c r="A12" s="1" t="s">
        <v>29</v>
      </c>
      <c r="B12" s="2">
        <v>226326.0</v>
      </c>
      <c r="C12" s="1">
        <v>10.0</v>
      </c>
      <c r="E12" s="1">
        <v>12.0</v>
      </c>
      <c r="F12" s="1" t="s">
        <v>22</v>
      </c>
      <c r="G12" s="1"/>
      <c r="H12" s="6">
        <v>28161.0</v>
      </c>
      <c r="I12" s="6"/>
      <c r="J12" s="6"/>
      <c r="K12" s="6"/>
      <c r="L12" s="1">
        <v>104.0</v>
      </c>
      <c r="M12" s="1" t="s">
        <v>22</v>
      </c>
      <c r="N12" s="1"/>
      <c r="O12" s="6">
        <v>45182.0</v>
      </c>
      <c r="P12" s="6"/>
      <c r="Q12" s="6"/>
      <c r="R12" s="6"/>
      <c r="S12" s="1">
        <v>43.0</v>
      </c>
      <c r="T12" s="1" t="s">
        <v>23</v>
      </c>
      <c r="U12" s="1">
        <v>928.0</v>
      </c>
      <c r="V12" s="6">
        <v>42147.0</v>
      </c>
      <c r="W12" s="6">
        <v>293312.0</v>
      </c>
      <c r="X12" s="6">
        <v>11.0</v>
      </c>
      <c r="Y12" s="6"/>
      <c r="Z12" s="1">
        <v>1.0</v>
      </c>
      <c r="AA12" s="1" t="s">
        <v>23</v>
      </c>
      <c r="AB12" s="1">
        <v>861.0</v>
      </c>
      <c r="AC12" s="6">
        <v>41311.0</v>
      </c>
      <c r="AD12" s="6">
        <v>123852.0</v>
      </c>
      <c r="AE12" s="6">
        <v>9.0</v>
      </c>
      <c r="AF12" s="6"/>
      <c r="AG12" s="3">
        <f t="shared" si="4"/>
        <v>2</v>
      </c>
    </row>
    <row r="13">
      <c r="A13" s="1" t="s">
        <v>30</v>
      </c>
      <c r="B13" s="2">
        <v>313811.0</v>
      </c>
      <c r="C13" s="1">
        <v>14.0</v>
      </c>
      <c r="E13" s="1">
        <v>4.0</v>
      </c>
      <c r="F13" s="1" t="s">
        <v>22</v>
      </c>
      <c r="G13" s="1"/>
      <c r="H13" s="6">
        <v>39365.0</v>
      </c>
      <c r="I13" s="6"/>
      <c r="J13" s="6"/>
      <c r="K13" s="6"/>
      <c r="L13" s="1">
        <v>4.0</v>
      </c>
      <c r="M13" s="1" t="s">
        <v>22</v>
      </c>
      <c r="N13" s="1"/>
      <c r="O13" s="6">
        <v>65423.0</v>
      </c>
      <c r="P13" s="6"/>
      <c r="Q13" s="6"/>
      <c r="R13" s="6"/>
      <c r="S13" s="1">
        <v>12.0</v>
      </c>
      <c r="T13" s="1" t="s">
        <v>23</v>
      </c>
      <c r="U13" s="1">
        <v>1058.0</v>
      </c>
      <c r="V13" s="6">
        <v>65573.0</v>
      </c>
      <c r="W13" s="6">
        <v>184643.0</v>
      </c>
      <c r="X13" s="6">
        <v>19.0</v>
      </c>
      <c r="Y13" s="6"/>
      <c r="Z13" s="1">
        <v>21.0</v>
      </c>
      <c r="AA13" s="1" t="s">
        <v>23</v>
      </c>
      <c r="AB13" s="1">
        <v>1021.0</v>
      </c>
      <c r="AC13" s="6">
        <v>63888.0</v>
      </c>
      <c r="AD13" s="6">
        <v>199751.0</v>
      </c>
      <c r="AE13" s="6">
        <v>16.0</v>
      </c>
      <c r="AF13" s="6"/>
      <c r="AG13" s="3">
        <f t="shared" si="4"/>
        <v>2</v>
      </c>
    </row>
    <row r="14">
      <c r="A14" s="1" t="s">
        <v>31</v>
      </c>
      <c r="B14" s="2">
        <v>184941.0</v>
      </c>
      <c r="C14" s="1">
        <v>11.0</v>
      </c>
      <c r="E14" s="1">
        <v>1.0</v>
      </c>
      <c r="F14" s="1" t="s">
        <v>23</v>
      </c>
      <c r="G14" s="1">
        <v>1243.0</v>
      </c>
      <c r="H14" s="6">
        <v>52729.0</v>
      </c>
      <c r="I14" s="6">
        <v>71763.0</v>
      </c>
      <c r="J14" s="6">
        <v>5.0</v>
      </c>
      <c r="K14" s="6"/>
      <c r="L14" s="1">
        <v>11.0</v>
      </c>
      <c r="M14" s="1" t="s">
        <v>23</v>
      </c>
      <c r="N14" s="1">
        <v>771.0</v>
      </c>
      <c r="O14" s="6">
        <v>57175.0</v>
      </c>
      <c r="P14" s="6">
        <v>388354.0</v>
      </c>
      <c r="Q14" s="6">
        <v>15.0</v>
      </c>
      <c r="R14" s="6"/>
      <c r="S14" s="1">
        <v>1.0</v>
      </c>
      <c r="T14" s="1" t="s">
        <v>23</v>
      </c>
      <c r="U14" s="1">
        <v>1140.0</v>
      </c>
      <c r="V14" s="6">
        <v>58752.0</v>
      </c>
      <c r="W14" s="6">
        <v>158193.0</v>
      </c>
      <c r="X14" s="6">
        <v>11.0</v>
      </c>
      <c r="Y14" s="6"/>
      <c r="Z14" s="1">
        <v>1.0</v>
      </c>
      <c r="AA14" s="1" t="s">
        <v>23</v>
      </c>
      <c r="AB14" s="1">
        <v>1219.0</v>
      </c>
      <c r="AC14" s="6">
        <v>53578.0</v>
      </c>
      <c r="AD14" s="6">
        <v>134930.0</v>
      </c>
      <c r="AE14" s="6">
        <v>8.0</v>
      </c>
      <c r="AF14" s="6"/>
      <c r="AG14" s="3">
        <f t="shared" si="4"/>
        <v>4</v>
      </c>
    </row>
    <row r="15">
      <c r="A15" s="1" t="s">
        <v>32</v>
      </c>
      <c r="B15" s="2">
        <v>249619.0</v>
      </c>
      <c r="C15" s="1">
        <v>9.0</v>
      </c>
      <c r="E15" s="1">
        <v>6.0</v>
      </c>
      <c r="F15" s="1" t="s">
        <v>21</v>
      </c>
      <c r="G15" s="1"/>
      <c r="H15" s="6">
        <v>32891.0</v>
      </c>
      <c r="I15" s="6"/>
      <c r="J15" s="6"/>
      <c r="K15" s="6"/>
      <c r="L15" s="1">
        <v>270.0</v>
      </c>
      <c r="M15" s="1" t="s">
        <v>21</v>
      </c>
      <c r="N15" s="1"/>
      <c r="O15" s="6">
        <v>35762.0</v>
      </c>
      <c r="P15" s="6"/>
      <c r="Q15" s="6"/>
      <c r="R15" s="6"/>
      <c r="S15" s="1">
        <v>1.0</v>
      </c>
      <c r="T15" s="1" t="s">
        <v>23</v>
      </c>
      <c r="U15" s="1">
        <v>878.0</v>
      </c>
      <c r="V15" s="6">
        <v>38321.0</v>
      </c>
      <c r="W15" s="6">
        <v>141512.0</v>
      </c>
      <c r="X15" s="6">
        <v>13.0</v>
      </c>
      <c r="Y15" s="6"/>
      <c r="Z15" s="1">
        <v>5.0</v>
      </c>
      <c r="AA15" s="1" t="s">
        <v>23</v>
      </c>
      <c r="AB15" s="1">
        <v>908.0</v>
      </c>
      <c r="AC15" s="6">
        <v>34823.0</v>
      </c>
      <c r="AD15" s="6">
        <v>196181.0</v>
      </c>
      <c r="AE15" s="6">
        <v>12.0</v>
      </c>
      <c r="AF15" s="6"/>
      <c r="AG15" s="3">
        <f t="shared" si="4"/>
        <v>2</v>
      </c>
    </row>
    <row r="16">
      <c r="A16" s="1" t="s">
        <v>33</v>
      </c>
      <c r="B16" s="2">
        <v>222480.0</v>
      </c>
      <c r="C16" s="1">
        <v>10.0</v>
      </c>
      <c r="E16" s="1">
        <v>323.0</v>
      </c>
      <c r="F16" s="1" t="s">
        <v>21</v>
      </c>
      <c r="G16" s="1"/>
      <c r="H16" s="6">
        <v>44830.0</v>
      </c>
      <c r="I16" s="6"/>
      <c r="J16" s="6"/>
      <c r="K16" s="6"/>
      <c r="L16" s="1">
        <v>217.0</v>
      </c>
      <c r="M16" s="1" t="s">
        <v>22</v>
      </c>
      <c r="N16" s="1"/>
      <c r="O16" s="6">
        <v>46794.0</v>
      </c>
      <c r="P16" s="6"/>
      <c r="Q16" s="6"/>
      <c r="R16" s="6"/>
      <c r="S16" s="1">
        <v>18.0</v>
      </c>
      <c r="T16" s="1" t="s">
        <v>23</v>
      </c>
      <c r="U16" s="1">
        <v>654.0</v>
      </c>
      <c r="V16" s="6">
        <v>45768.0</v>
      </c>
      <c r="W16" s="6">
        <v>177083.0</v>
      </c>
      <c r="X16" s="6">
        <v>9.0</v>
      </c>
      <c r="Y16" s="6"/>
      <c r="Z16" s="1">
        <v>1.0</v>
      </c>
      <c r="AA16" s="1" t="s">
        <v>23</v>
      </c>
      <c r="AB16" s="1">
        <v>1278.0</v>
      </c>
      <c r="AC16" s="6">
        <v>47230.0</v>
      </c>
      <c r="AD16" s="6">
        <v>178464.0</v>
      </c>
      <c r="AE16" s="6">
        <v>8.0</v>
      </c>
      <c r="AF16" s="6"/>
      <c r="AG16" s="3">
        <f t="shared" si="4"/>
        <v>2</v>
      </c>
    </row>
    <row r="17">
      <c r="A17" s="1" t="s">
        <v>34</v>
      </c>
      <c r="B17" s="2">
        <v>296397.0</v>
      </c>
      <c r="C17" s="1">
        <v>13.0</v>
      </c>
      <c r="E17" s="1">
        <v>8.0</v>
      </c>
      <c r="F17" s="1" t="s">
        <v>22</v>
      </c>
      <c r="G17" s="1"/>
      <c r="H17" s="6">
        <v>37208.0</v>
      </c>
      <c r="I17" s="6"/>
      <c r="J17" s="6"/>
      <c r="K17" s="6"/>
      <c r="L17" s="1">
        <v>105.0</v>
      </c>
      <c r="M17" s="1" t="s">
        <v>22</v>
      </c>
      <c r="N17" s="1"/>
      <c r="O17" s="6">
        <v>57786.0</v>
      </c>
      <c r="P17" s="6"/>
      <c r="Q17" s="6"/>
      <c r="R17" s="6"/>
      <c r="S17" s="1">
        <v>1.0</v>
      </c>
      <c r="T17" s="1" t="s">
        <v>23</v>
      </c>
      <c r="U17" s="1">
        <v>618.0</v>
      </c>
      <c r="V17" s="6">
        <v>16196.0</v>
      </c>
      <c r="W17" s="6">
        <v>136671.0</v>
      </c>
      <c r="X17" s="6">
        <v>10.0</v>
      </c>
      <c r="Y17" s="6"/>
      <c r="Z17" s="1">
        <v>3.0</v>
      </c>
      <c r="AA17" s="1" t="s">
        <v>23</v>
      </c>
      <c r="AB17" s="1">
        <v>1081.0</v>
      </c>
      <c r="AC17" s="6">
        <v>56691.0</v>
      </c>
      <c r="AD17" s="6">
        <v>394411.0</v>
      </c>
      <c r="AE17" s="6">
        <v>13.0</v>
      </c>
      <c r="AF17" s="6"/>
      <c r="AG17" s="3">
        <f t="shared" si="4"/>
        <v>2</v>
      </c>
    </row>
    <row r="18">
      <c r="A18" s="1" t="s">
        <v>35</v>
      </c>
      <c r="B18" s="2">
        <v>234543.0</v>
      </c>
      <c r="C18" s="1">
        <v>13.0</v>
      </c>
      <c r="E18" s="1">
        <v>4.0</v>
      </c>
      <c r="F18" s="1" t="s">
        <v>22</v>
      </c>
      <c r="G18" s="1"/>
      <c r="H18" s="6">
        <v>18911.0</v>
      </c>
      <c r="I18" s="6"/>
      <c r="J18" s="6"/>
      <c r="K18" s="6"/>
      <c r="L18" s="1">
        <v>357.0</v>
      </c>
      <c r="M18" s="1" t="s">
        <v>22</v>
      </c>
      <c r="N18" s="1"/>
      <c r="O18" s="6">
        <v>57603.0</v>
      </c>
      <c r="P18" s="6"/>
      <c r="Q18" s="6"/>
      <c r="R18" s="6"/>
      <c r="S18" s="1">
        <v>2.0</v>
      </c>
      <c r="T18" s="1" t="s">
        <v>23</v>
      </c>
      <c r="U18" s="1">
        <v>993.0</v>
      </c>
      <c r="V18" s="6">
        <v>55038.0</v>
      </c>
      <c r="W18" s="6">
        <v>272546.0</v>
      </c>
      <c r="X18" s="6">
        <v>14.0</v>
      </c>
      <c r="Y18" s="6"/>
      <c r="Z18" s="1">
        <v>2.0</v>
      </c>
      <c r="AA18" s="1" t="s">
        <v>23</v>
      </c>
      <c r="AB18" s="1">
        <v>1037.0</v>
      </c>
      <c r="AC18" s="6">
        <v>54572.0</v>
      </c>
      <c r="AD18" s="6">
        <v>301181.0</v>
      </c>
      <c r="AE18" s="6">
        <v>23.0</v>
      </c>
      <c r="AF18" s="6"/>
      <c r="AG18" s="3">
        <f t="shared" si="4"/>
        <v>2</v>
      </c>
    </row>
    <row r="19">
      <c r="A19" s="1" t="s">
        <v>36</v>
      </c>
      <c r="B19" s="2">
        <v>249551.0</v>
      </c>
      <c r="C19" s="1">
        <v>13.0</v>
      </c>
      <c r="E19" s="1">
        <v>2.0</v>
      </c>
      <c r="F19" s="1" t="s">
        <v>21</v>
      </c>
      <c r="G19" s="1"/>
      <c r="H19" s="6">
        <v>52250.0</v>
      </c>
      <c r="I19" s="6"/>
      <c r="J19" s="6"/>
      <c r="K19" s="6"/>
      <c r="L19" s="1">
        <v>2.0</v>
      </c>
      <c r="M19" s="1" t="s">
        <v>22</v>
      </c>
      <c r="N19" s="1"/>
      <c r="O19" s="6">
        <v>61057.0</v>
      </c>
      <c r="P19" s="6"/>
      <c r="Q19" s="6"/>
      <c r="R19" s="6"/>
      <c r="S19" s="1">
        <v>2.0</v>
      </c>
      <c r="T19" s="1" t="s">
        <v>23</v>
      </c>
      <c r="U19" s="1">
        <v>1105.0</v>
      </c>
      <c r="V19" s="6">
        <v>61192.0</v>
      </c>
      <c r="W19" s="6">
        <v>438244.0</v>
      </c>
      <c r="X19" s="6">
        <v>17.0</v>
      </c>
      <c r="Y19" s="6"/>
      <c r="Z19" s="1">
        <v>1.0</v>
      </c>
      <c r="AA19" s="1" t="s">
        <v>23</v>
      </c>
      <c r="AB19" s="1">
        <v>1142.0</v>
      </c>
      <c r="AC19" s="6">
        <v>56481.0</v>
      </c>
      <c r="AD19" s="6">
        <v>299694.0</v>
      </c>
      <c r="AE19" s="6">
        <v>17.0</v>
      </c>
      <c r="AF19" s="6"/>
      <c r="AG19" s="3">
        <f t="shared" si="4"/>
        <v>2</v>
      </c>
    </row>
    <row r="20">
      <c r="A20" s="1" t="s">
        <v>37</v>
      </c>
      <c r="B20" s="2">
        <v>349585.0</v>
      </c>
      <c r="C20" s="1">
        <v>12.0</v>
      </c>
      <c r="E20" s="1">
        <v>2.0</v>
      </c>
      <c r="F20" s="1" t="s">
        <v>23</v>
      </c>
      <c r="G20" s="1">
        <v>1082.0</v>
      </c>
      <c r="H20" s="6">
        <v>3734.0</v>
      </c>
      <c r="I20" s="6">
        <v>125651.0</v>
      </c>
      <c r="J20" s="6">
        <v>2.0</v>
      </c>
      <c r="K20" s="6"/>
      <c r="L20" s="1">
        <v>151.0</v>
      </c>
      <c r="M20" s="1" t="s">
        <v>23</v>
      </c>
      <c r="N20" s="1">
        <v>78.0</v>
      </c>
      <c r="O20" s="6">
        <v>50672.0</v>
      </c>
      <c r="P20" s="6">
        <v>204131.0</v>
      </c>
      <c r="Q20" s="6">
        <v>16.0</v>
      </c>
      <c r="R20" s="6"/>
      <c r="S20" s="1">
        <v>1.0</v>
      </c>
      <c r="T20" s="1" t="s">
        <v>23</v>
      </c>
      <c r="U20" s="1">
        <v>1166.0</v>
      </c>
      <c r="V20" s="6">
        <v>53650.0</v>
      </c>
      <c r="W20" s="6">
        <v>189344.0</v>
      </c>
      <c r="X20" s="6">
        <v>14.0</v>
      </c>
      <c r="Y20" s="6"/>
      <c r="Z20" s="1">
        <v>7.0</v>
      </c>
      <c r="AA20" s="1" t="s">
        <v>23</v>
      </c>
      <c r="AB20" s="1">
        <v>1146.0</v>
      </c>
      <c r="AC20" s="6">
        <v>49743.0</v>
      </c>
      <c r="AD20" s="6">
        <v>215327.0</v>
      </c>
      <c r="AE20" s="6">
        <v>10.0</v>
      </c>
      <c r="AF20" s="6"/>
      <c r="AG20" s="3">
        <f t="shared" si="4"/>
        <v>4</v>
      </c>
    </row>
    <row r="21">
      <c r="A21" s="1" t="s">
        <v>38</v>
      </c>
      <c r="B21" s="2">
        <v>149354.0</v>
      </c>
      <c r="C21" s="1">
        <v>15.0</v>
      </c>
      <c r="E21" s="1">
        <v>102.0</v>
      </c>
      <c r="F21" s="1" t="s">
        <v>22</v>
      </c>
      <c r="G21" s="1"/>
      <c r="H21" s="6">
        <v>10079.0</v>
      </c>
      <c r="I21" s="6"/>
      <c r="J21" s="6"/>
      <c r="K21" s="6"/>
      <c r="L21" s="1">
        <v>102.0</v>
      </c>
      <c r="M21" s="1" t="s">
        <v>22</v>
      </c>
      <c r="N21" s="1"/>
      <c r="O21" s="6">
        <v>63213.0</v>
      </c>
      <c r="P21" s="6"/>
      <c r="Q21" s="6"/>
      <c r="R21" s="6"/>
      <c r="S21" s="1">
        <v>1.0</v>
      </c>
      <c r="T21" s="1" t="s">
        <v>23</v>
      </c>
      <c r="U21" s="1">
        <v>742.0</v>
      </c>
      <c r="V21" s="6">
        <v>50287.0</v>
      </c>
      <c r="W21" s="6">
        <v>165064.0</v>
      </c>
      <c r="X21" s="6">
        <v>17.0</v>
      </c>
      <c r="Y21" s="6"/>
      <c r="Z21" s="1">
        <v>1.0</v>
      </c>
      <c r="AA21" s="1" t="s">
        <v>23</v>
      </c>
      <c r="AB21" s="1">
        <v>702.0</v>
      </c>
      <c r="AC21" s="6">
        <v>60284.0</v>
      </c>
      <c r="AD21" s="6">
        <v>226794.0</v>
      </c>
      <c r="AE21" s="6">
        <v>16.0</v>
      </c>
      <c r="AF21" s="6"/>
      <c r="AG21" s="3">
        <f t="shared" si="4"/>
        <v>2</v>
      </c>
    </row>
    <row r="22">
      <c r="A22" s="1" t="s">
        <v>39</v>
      </c>
      <c r="B22" s="2">
        <v>270054.0</v>
      </c>
      <c r="C22" s="1">
        <v>15.0</v>
      </c>
      <c r="E22" s="1">
        <v>2.0</v>
      </c>
      <c r="F22" s="1" t="s">
        <v>21</v>
      </c>
      <c r="G22" s="1"/>
      <c r="H22" s="6">
        <v>28069.0</v>
      </c>
      <c r="I22" s="6"/>
      <c r="J22" s="6"/>
      <c r="K22" s="6"/>
      <c r="L22" s="1">
        <v>105.0</v>
      </c>
      <c r="M22" s="1" t="s">
        <v>22</v>
      </c>
      <c r="N22" s="1"/>
      <c r="O22" s="6">
        <v>59891.0</v>
      </c>
      <c r="P22" s="6"/>
      <c r="Q22" s="6"/>
      <c r="R22" s="6"/>
      <c r="S22" s="1">
        <v>1.0</v>
      </c>
      <c r="T22" s="1" t="s">
        <v>23</v>
      </c>
      <c r="U22" s="1">
        <v>919.0</v>
      </c>
      <c r="V22" s="6">
        <v>60812.0</v>
      </c>
      <c r="W22" s="6">
        <v>143593.0</v>
      </c>
      <c r="X22" s="6">
        <v>14.0</v>
      </c>
      <c r="Y22" s="6"/>
      <c r="Z22" s="1">
        <v>3.0</v>
      </c>
      <c r="AA22" s="1" t="s">
        <v>23</v>
      </c>
      <c r="AB22" s="1">
        <v>1033.0</v>
      </c>
      <c r="AC22" s="6">
        <v>55959.0</v>
      </c>
      <c r="AD22" s="6">
        <v>198009.0</v>
      </c>
      <c r="AE22" s="6">
        <v>18.0</v>
      </c>
      <c r="AF22" s="6"/>
      <c r="AG22" s="3">
        <f t="shared" si="4"/>
        <v>2</v>
      </c>
    </row>
    <row r="23">
      <c r="A23" s="1" t="s">
        <v>40</v>
      </c>
      <c r="B23" s="2">
        <v>267413.0</v>
      </c>
      <c r="C23" s="1">
        <v>17.0</v>
      </c>
      <c r="E23" s="1">
        <v>22.0</v>
      </c>
      <c r="F23" s="1" t="s">
        <v>22</v>
      </c>
      <c r="G23" s="1"/>
      <c r="H23" s="6">
        <v>37108.0</v>
      </c>
      <c r="I23" s="6"/>
      <c r="J23" s="6"/>
      <c r="K23" s="6"/>
      <c r="L23" s="1">
        <v>5.0</v>
      </c>
      <c r="M23" s="1" t="s">
        <v>22</v>
      </c>
      <c r="N23" s="1"/>
      <c r="O23" s="6">
        <v>67545.0</v>
      </c>
      <c r="P23" s="6"/>
      <c r="Q23" s="6"/>
      <c r="R23" s="6"/>
      <c r="S23" s="1">
        <v>72.0</v>
      </c>
      <c r="T23" s="1" t="s">
        <v>23</v>
      </c>
      <c r="U23" s="1">
        <v>1457.0</v>
      </c>
      <c r="V23" s="6">
        <v>84180.0</v>
      </c>
      <c r="W23" s="6">
        <v>133593.0</v>
      </c>
      <c r="X23" s="6">
        <v>15.0</v>
      </c>
      <c r="Y23" s="6"/>
      <c r="Z23" s="1">
        <v>2.0</v>
      </c>
      <c r="AA23" s="1" t="s">
        <v>23</v>
      </c>
      <c r="AB23" s="1">
        <v>1758.0</v>
      </c>
      <c r="AC23" s="6">
        <v>79268.0</v>
      </c>
      <c r="AD23" s="6">
        <v>277419.0</v>
      </c>
      <c r="AE23" s="6">
        <v>21.0</v>
      </c>
      <c r="AF23" s="6"/>
      <c r="AG23" s="3">
        <f t="shared" si="4"/>
        <v>2</v>
      </c>
    </row>
    <row r="24">
      <c r="A24" s="1" t="s">
        <v>41</v>
      </c>
      <c r="B24" s="2">
        <v>300061.0</v>
      </c>
      <c r="C24" s="1">
        <v>13.0</v>
      </c>
      <c r="E24" s="1">
        <v>1.0</v>
      </c>
      <c r="F24" s="1" t="s">
        <v>21</v>
      </c>
      <c r="G24" s="1"/>
      <c r="H24" s="6">
        <v>30284.0</v>
      </c>
      <c r="I24" s="6"/>
      <c r="J24" s="6"/>
      <c r="K24" s="6"/>
      <c r="L24" s="1">
        <v>371.0</v>
      </c>
      <c r="M24" s="1" t="s">
        <v>22</v>
      </c>
      <c r="N24" s="1"/>
      <c r="O24" s="6">
        <v>62925.0</v>
      </c>
      <c r="P24" s="6"/>
      <c r="Q24" s="6"/>
      <c r="R24" s="6"/>
      <c r="S24" s="1">
        <v>9.0</v>
      </c>
      <c r="T24" s="1" t="s">
        <v>23</v>
      </c>
      <c r="U24" s="1">
        <v>1532.0</v>
      </c>
      <c r="V24" s="6">
        <v>62610.0</v>
      </c>
      <c r="W24" s="6">
        <v>231203.0</v>
      </c>
      <c r="X24" s="6">
        <v>14.0</v>
      </c>
      <c r="Y24" s="6"/>
      <c r="Z24" s="1">
        <v>1.0</v>
      </c>
      <c r="AA24" s="1" t="s">
        <v>21</v>
      </c>
      <c r="AB24" s="1"/>
      <c r="AC24" s="6">
        <v>55218.0</v>
      </c>
      <c r="AD24" s="6"/>
      <c r="AE24" s="6"/>
      <c r="AF24" s="6"/>
      <c r="AG24" s="3">
        <f t="shared" si="4"/>
        <v>1</v>
      </c>
    </row>
    <row r="25">
      <c r="A25" s="1" t="s">
        <v>42</v>
      </c>
      <c r="B25" s="2">
        <v>305175.0</v>
      </c>
      <c r="C25" s="1">
        <v>17.0</v>
      </c>
      <c r="E25" s="1">
        <v>5.0</v>
      </c>
      <c r="F25" s="1" t="s">
        <v>22</v>
      </c>
      <c r="G25" s="1"/>
      <c r="H25" s="6">
        <v>33851.0</v>
      </c>
      <c r="I25" s="6"/>
      <c r="J25" s="6"/>
      <c r="K25" s="6"/>
      <c r="L25" s="1">
        <v>110.0</v>
      </c>
      <c r="M25" s="1" t="s">
        <v>22</v>
      </c>
      <c r="N25" s="1"/>
      <c r="O25" s="6">
        <v>62220.0</v>
      </c>
      <c r="P25" s="6"/>
      <c r="Q25" s="6"/>
      <c r="R25" s="6"/>
      <c r="S25" s="1">
        <v>50.0</v>
      </c>
      <c r="T25" s="1" t="s">
        <v>23</v>
      </c>
      <c r="U25" s="1" t="s">
        <v>43</v>
      </c>
      <c r="V25" s="6">
        <v>71788.0</v>
      </c>
      <c r="W25" s="6">
        <v>154400.0</v>
      </c>
      <c r="X25" s="6">
        <v>24.0</v>
      </c>
      <c r="Y25" s="6"/>
      <c r="Z25" s="1">
        <v>1.0</v>
      </c>
      <c r="AA25" s="1" t="s">
        <v>21</v>
      </c>
      <c r="AB25" s="1"/>
      <c r="AC25" s="6">
        <v>66535.0</v>
      </c>
      <c r="AD25" s="6"/>
      <c r="AE25" s="6"/>
      <c r="AF25" s="6"/>
      <c r="AG25" s="3">
        <f t="shared" si="4"/>
        <v>1</v>
      </c>
    </row>
    <row r="26">
      <c r="A26" s="1" t="s">
        <v>44</v>
      </c>
      <c r="B26" s="2">
        <v>276587.0</v>
      </c>
      <c r="C26" s="1">
        <v>16.0</v>
      </c>
      <c r="E26" s="1">
        <v>1.0</v>
      </c>
      <c r="F26" s="1" t="s">
        <v>21</v>
      </c>
      <c r="G26" s="1"/>
      <c r="H26" s="6">
        <v>41562.0</v>
      </c>
      <c r="I26" s="6"/>
      <c r="J26" s="6"/>
      <c r="K26" s="6"/>
      <c r="L26" s="1">
        <v>263.0</v>
      </c>
      <c r="M26" s="1" t="s">
        <v>23</v>
      </c>
      <c r="N26" s="1">
        <v>46.0</v>
      </c>
      <c r="O26" s="6">
        <v>40812.0</v>
      </c>
      <c r="P26" s="6">
        <v>113149.0</v>
      </c>
      <c r="Q26" s="6">
        <v>11.0</v>
      </c>
      <c r="R26" s="6"/>
      <c r="S26" s="1">
        <v>35.0</v>
      </c>
      <c r="T26" s="1" t="s">
        <v>23</v>
      </c>
      <c r="U26" s="1">
        <v>1498.0</v>
      </c>
      <c r="V26" s="6">
        <v>78576.0</v>
      </c>
      <c r="W26" s="6">
        <v>157632.0</v>
      </c>
      <c r="X26" s="6">
        <v>15.0</v>
      </c>
      <c r="Y26" s="6"/>
      <c r="Z26" s="1">
        <v>6.0</v>
      </c>
      <c r="AA26" s="1" t="s">
        <v>21</v>
      </c>
      <c r="AB26" s="1"/>
      <c r="AC26" s="6">
        <v>67348.0</v>
      </c>
      <c r="AD26" s="6"/>
      <c r="AE26" s="6"/>
      <c r="AF26" s="6"/>
      <c r="AG26" s="3">
        <f t="shared" si="4"/>
        <v>2</v>
      </c>
    </row>
    <row r="27">
      <c r="A27" s="1" t="s">
        <v>45</v>
      </c>
      <c r="B27" s="2">
        <v>351675.0</v>
      </c>
      <c r="C27" s="1">
        <v>12.0</v>
      </c>
      <c r="E27" s="1">
        <v>5.0</v>
      </c>
      <c r="F27" s="1" t="s">
        <v>22</v>
      </c>
      <c r="G27" s="1"/>
      <c r="H27" s="6">
        <v>42982.0</v>
      </c>
      <c r="I27" s="6"/>
      <c r="J27" s="6"/>
      <c r="K27" s="6"/>
      <c r="L27" s="1">
        <v>251.0</v>
      </c>
      <c r="M27" s="1" t="s">
        <v>22</v>
      </c>
      <c r="N27" s="1"/>
      <c r="O27" s="6">
        <v>55379.0</v>
      </c>
      <c r="P27" s="6"/>
      <c r="Q27" s="6"/>
      <c r="R27" s="6"/>
      <c r="S27" s="1">
        <v>6.0</v>
      </c>
      <c r="T27" s="1" t="s">
        <v>23</v>
      </c>
      <c r="U27" s="1">
        <v>726.0</v>
      </c>
      <c r="V27" s="6">
        <v>62186.0</v>
      </c>
      <c r="W27" s="6">
        <v>199544.0</v>
      </c>
      <c r="X27" s="6">
        <v>13.0</v>
      </c>
      <c r="Y27" s="6"/>
      <c r="Z27" s="1">
        <v>1.0</v>
      </c>
      <c r="AA27" s="1" t="s">
        <v>21</v>
      </c>
      <c r="AB27" s="1"/>
      <c r="AC27" s="6">
        <v>52062.0</v>
      </c>
      <c r="AD27" s="6"/>
      <c r="AE27" s="6"/>
      <c r="AF27" s="6"/>
      <c r="AG27" s="3">
        <f t="shared" si="4"/>
        <v>1</v>
      </c>
    </row>
    <row r="28">
      <c r="A28" s="1" t="s">
        <v>46</v>
      </c>
      <c r="B28" s="2">
        <v>252071.0</v>
      </c>
      <c r="C28" s="1">
        <v>11.0</v>
      </c>
      <c r="E28" s="1">
        <v>1.0</v>
      </c>
      <c r="F28" s="1" t="s">
        <v>21</v>
      </c>
      <c r="G28" s="1"/>
      <c r="H28" s="6">
        <v>29331.0</v>
      </c>
      <c r="I28" s="6"/>
      <c r="J28" s="6"/>
      <c r="K28" s="6"/>
      <c r="L28" s="1">
        <v>102.0</v>
      </c>
      <c r="M28" s="1" t="s">
        <v>22</v>
      </c>
      <c r="N28" s="1"/>
      <c r="O28" s="6">
        <v>54201.0</v>
      </c>
      <c r="P28" s="6"/>
      <c r="Q28" s="6"/>
      <c r="R28" s="6"/>
      <c r="S28" s="1">
        <v>8.0</v>
      </c>
      <c r="T28" s="1" t="s">
        <v>23</v>
      </c>
      <c r="U28" s="1">
        <v>644.0</v>
      </c>
      <c r="V28" s="6">
        <v>53275.0</v>
      </c>
      <c r="W28" s="6">
        <v>160889.0</v>
      </c>
      <c r="X28" s="6">
        <v>21.0</v>
      </c>
      <c r="Y28" s="6"/>
      <c r="Z28" s="1">
        <v>1.0</v>
      </c>
      <c r="AA28" s="1" t="s">
        <v>23</v>
      </c>
      <c r="AB28" s="1">
        <v>738.0</v>
      </c>
      <c r="AC28" s="6">
        <v>51216.0</v>
      </c>
      <c r="AD28" s="6">
        <v>271768.0</v>
      </c>
      <c r="AE28" s="6">
        <v>11.0</v>
      </c>
      <c r="AF28" s="6"/>
      <c r="AG28" s="3">
        <f t="shared" si="4"/>
        <v>2</v>
      </c>
    </row>
    <row r="29">
      <c r="A29" s="1" t="s">
        <v>47</v>
      </c>
      <c r="B29" s="2">
        <v>305813.0</v>
      </c>
      <c r="C29" s="1">
        <v>12.0</v>
      </c>
      <c r="E29" s="1">
        <v>4.0</v>
      </c>
      <c r="F29" s="1" t="s">
        <v>22</v>
      </c>
      <c r="G29" s="1"/>
      <c r="H29" s="6">
        <v>45760.0</v>
      </c>
      <c r="I29" s="6"/>
      <c r="J29" s="6"/>
      <c r="K29" s="6"/>
      <c r="L29" s="1">
        <v>163.0</v>
      </c>
      <c r="M29" s="1" t="s">
        <v>22</v>
      </c>
      <c r="N29" s="1"/>
      <c r="O29" s="6">
        <v>49910.0</v>
      </c>
      <c r="P29" s="6"/>
      <c r="Q29" s="6"/>
      <c r="R29" s="6"/>
      <c r="S29" s="1">
        <v>8.0</v>
      </c>
      <c r="T29" s="1" t="s">
        <v>23</v>
      </c>
      <c r="U29" s="1" t="s">
        <v>43</v>
      </c>
      <c r="V29" s="6">
        <v>49128.0</v>
      </c>
      <c r="W29" s="6">
        <v>205320.0</v>
      </c>
      <c r="X29" s="6">
        <v>13.0</v>
      </c>
      <c r="Y29" s="6"/>
      <c r="Z29" s="1">
        <v>3.0</v>
      </c>
      <c r="AA29" s="1" t="s">
        <v>23</v>
      </c>
      <c r="AB29" s="1">
        <v>424.0</v>
      </c>
      <c r="AC29" s="6">
        <v>51055.0</v>
      </c>
      <c r="AD29" s="6">
        <v>273571.0</v>
      </c>
      <c r="AE29" s="6">
        <v>12.0</v>
      </c>
      <c r="AF29" s="6"/>
      <c r="AG29" s="3">
        <f t="shared" si="4"/>
        <v>2</v>
      </c>
    </row>
    <row r="30">
      <c r="A30" s="1" t="s">
        <v>48</v>
      </c>
      <c r="B30" s="2">
        <v>248122.0</v>
      </c>
      <c r="C30" s="1">
        <v>12.0</v>
      </c>
      <c r="E30" s="1">
        <v>1.0</v>
      </c>
      <c r="F30" s="1" t="s">
        <v>21</v>
      </c>
      <c r="G30" s="1"/>
      <c r="H30" s="6">
        <v>27011.0</v>
      </c>
      <c r="I30" s="6"/>
      <c r="J30" s="6"/>
      <c r="K30" s="6"/>
      <c r="L30" s="1">
        <v>15.0</v>
      </c>
      <c r="M30" s="1" t="s">
        <v>21</v>
      </c>
      <c r="N30" s="1"/>
      <c r="O30" s="6">
        <v>59373.0</v>
      </c>
      <c r="P30" s="6"/>
      <c r="Q30" s="6"/>
      <c r="R30" s="6"/>
      <c r="S30" s="1">
        <v>6.0</v>
      </c>
      <c r="T30" s="1" t="s">
        <v>23</v>
      </c>
      <c r="U30" s="1">
        <v>991.0</v>
      </c>
      <c r="V30" s="6">
        <v>65519.0</v>
      </c>
      <c r="W30" s="6">
        <v>202375.0</v>
      </c>
      <c r="X30" s="6">
        <v>14.0</v>
      </c>
      <c r="Y30" s="6"/>
      <c r="Z30" s="1">
        <v>12.0</v>
      </c>
      <c r="AA30" s="1" t="s">
        <v>23</v>
      </c>
      <c r="AB30" s="1">
        <v>1163.0</v>
      </c>
      <c r="AC30" s="6">
        <v>57009.0</v>
      </c>
      <c r="AD30" s="6">
        <v>365439.0</v>
      </c>
      <c r="AE30" s="6">
        <v>17.0</v>
      </c>
      <c r="AF30" s="6"/>
      <c r="AG30" s="3">
        <f t="shared" si="4"/>
        <v>2</v>
      </c>
    </row>
    <row r="31">
      <c r="A31" s="1" t="s">
        <v>49</v>
      </c>
      <c r="B31" s="2">
        <v>274603.0</v>
      </c>
      <c r="C31" s="1">
        <v>17.0</v>
      </c>
      <c r="E31" s="1">
        <v>17.0</v>
      </c>
      <c r="F31" s="1" t="s">
        <v>21</v>
      </c>
      <c r="G31" s="1"/>
      <c r="H31" s="6">
        <v>31788.0</v>
      </c>
      <c r="I31" s="6"/>
      <c r="J31" s="6"/>
      <c r="K31" s="6"/>
      <c r="L31" s="1">
        <v>194.0</v>
      </c>
      <c r="M31" s="1" t="s">
        <v>22</v>
      </c>
      <c r="N31" s="1"/>
      <c r="O31" s="6">
        <v>54336.0</v>
      </c>
      <c r="P31" s="6"/>
      <c r="Q31" s="6"/>
      <c r="R31" s="6"/>
      <c r="S31" s="1">
        <v>3.0</v>
      </c>
      <c r="T31" s="1" t="s">
        <v>23</v>
      </c>
      <c r="U31" s="1">
        <v>1378.0</v>
      </c>
      <c r="V31" s="6">
        <v>77594.0</v>
      </c>
      <c r="W31" s="6">
        <v>197932.0</v>
      </c>
      <c r="X31" s="6">
        <v>18.0</v>
      </c>
      <c r="Y31" s="6"/>
      <c r="Z31" s="1">
        <v>11.0</v>
      </c>
      <c r="AA31" s="1" t="s">
        <v>23</v>
      </c>
      <c r="AB31" s="1">
        <v>1043.0</v>
      </c>
      <c r="AC31" s="6">
        <v>68497.0</v>
      </c>
      <c r="AD31" s="6">
        <v>165074.0</v>
      </c>
      <c r="AE31" s="6">
        <v>11.0</v>
      </c>
      <c r="AF31" s="6"/>
      <c r="AG31" s="3">
        <f t="shared" si="4"/>
        <v>2</v>
      </c>
    </row>
    <row r="32">
      <c r="A32" s="1" t="s">
        <v>50</v>
      </c>
      <c r="B32" s="2">
        <v>255292.0</v>
      </c>
      <c r="C32" s="1">
        <v>12.0</v>
      </c>
      <c r="E32" s="1">
        <v>138.0</v>
      </c>
      <c r="F32" s="1" t="s">
        <v>21</v>
      </c>
      <c r="G32" s="1"/>
      <c r="H32" s="6">
        <v>32664.0</v>
      </c>
      <c r="I32" s="6"/>
      <c r="J32" s="6"/>
      <c r="K32" s="6"/>
      <c r="L32" s="1">
        <v>210.0</v>
      </c>
      <c r="M32" s="1" t="s">
        <v>22</v>
      </c>
      <c r="N32" s="1"/>
      <c r="O32" s="6">
        <v>52354.0</v>
      </c>
      <c r="P32" s="6"/>
      <c r="Q32" s="6"/>
      <c r="R32" s="6"/>
      <c r="S32" s="1">
        <v>20.0</v>
      </c>
      <c r="T32" s="1" t="s">
        <v>21</v>
      </c>
      <c r="U32" s="1"/>
      <c r="V32" s="6">
        <v>58431.0</v>
      </c>
      <c r="W32" s="6"/>
      <c r="X32" s="6"/>
      <c r="Y32" s="6"/>
      <c r="Z32" s="1">
        <v>21.0</v>
      </c>
      <c r="AA32" s="1" t="s">
        <v>21</v>
      </c>
      <c r="AB32" s="1"/>
      <c r="AC32" s="6">
        <v>55523.0</v>
      </c>
      <c r="AD32" s="6"/>
      <c r="AE32" s="6"/>
      <c r="AF32" s="6"/>
      <c r="AG32" s="3">
        <f t="shared" si="4"/>
        <v>0</v>
      </c>
    </row>
    <row r="33">
      <c r="A33" s="1" t="s">
        <v>51</v>
      </c>
      <c r="B33" s="2">
        <v>270256.0</v>
      </c>
      <c r="C33" s="1">
        <v>19.0</v>
      </c>
      <c r="E33" s="1">
        <v>2.0</v>
      </c>
      <c r="F33" s="1" t="s">
        <v>23</v>
      </c>
      <c r="G33" s="1">
        <v>921.0</v>
      </c>
      <c r="H33" s="6">
        <v>3591.0</v>
      </c>
      <c r="I33" s="6">
        <v>67398.0</v>
      </c>
      <c r="J33" s="6">
        <v>2.0</v>
      </c>
      <c r="K33" s="6"/>
      <c r="L33" s="1">
        <v>205.0</v>
      </c>
      <c r="M33" s="1" t="s">
        <v>22</v>
      </c>
      <c r="N33" s="1"/>
      <c r="O33" s="6">
        <v>35463.0</v>
      </c>
      <c r="P33" s="6"/>
      <c r="Q33" s="6"/>
      <c r="R33" s="6"/>
      <c r="S33" s="1">
        <v>176.0</v>
      </c>
      <c r="T33" s="1" t="s">
        <v>23</v>
      </c>
      <c r="U33" s="1">
        <v>1683.0</v>
      </c>
      <c r="V33" s="6">
        <v>75938.0</v>
      </c>
      <c r="W33" s="6">
        <v>182735.0</v>
      </c>
      <c r="X33" s="6">
        <v>21.0</v>
      </c>
      <c r="Y33" s="6"/>
      <c r="Z33" s="1">
        <v>1.0</v>
      </c>
      <c r="AA33" s="1" t="s">
        <v>23</v>
      </c>
      <c r="AB33" s="1">
        <v>1554.0</v>
      </c>
      <c r="AC33" s="6">
        <v>68612.0</v>
      </c>
      <c r="AD33" s="6">
        <v>309982.0</v>
      </c>
      <c r="AE33" s="6">
        <v>19.0</v>
      </c>
      <c r="AF33" s="6"/>
      <c r="AG33" s="3">
        <f t="shared" si="4"/>
        <v>3</v>
      </c>
    </row>
    <row r="34">
      <c r="A34" s="1" t="s">
        <v>52</v>
      </c>
      <c r="B34" s="2">
        <v>287800.0</v>
      </c>
      <c r="C34" s="1">
        <v>12.0</v>
      </c>
      <c r="E34" s="1">
        <v>5.0</v>
      </c>
      <c r="F34" s="1" t="s">
        <v>22</v>
      </c>
      <c r="G34" s="1"/>
      <c r="H34" s="6">
        <v>35066.0</v>
      </c>
      <c r="I34" s="6"/>
      <c r="J34" s="6"/>
      <c r="K34" s="6"/>
      <c r="L34" s="1">
        <v>176.0</v>
      </c>
      <c r="M34" s="1" t="s">
        <v>22</v>
      </c>
      <c r="N34" s="1"/>
      <c r="O34" s="6">
        <v>56544.0</v>
      </c>
      <c r="P34" s="6"/>
      <c r="Q34" s="6"/>
      <c r="R34" s="6"/>
      <c r="S34" s="1">
        <v>1.0</v>
      </c>
      <c r="T34" s="1" t="s">
        <v>23</v>
      </c>
      <c r="U34" s="1">
        <v>746.0</v>
      </c>
      <c r="V34" s="6">
        <v>54706.0</v>
      </c>
      <c r="W34" s="6">
        <v>166156.0</v>
      </c>
      <c r="X34" s="6">
        <v>11.0</v>
      </c>
      <c r="Y34" s="6"/>
      <c r="Z34" s="1">
        <v>89.0</v>
      </c>
      <c r="AA34" s="1" t="s">
        <v>23</v>
      </c>
      <c r="AB34" s="1">
        <v>742.0</v>
      </c>
      <c r="AC34" s="6">
        <v>52684.0</v>
      </c>
      <c r="AD34" s="6">
        <v>380452.0</v>
      </c>
      <c r="AE34" s="6">
        <v>15.0</v>
      </c>
      <c r="AF34" s="6"/>
      <c r="AG34" s="3">
        <f t="shared" si="4"/>
        <v>2</v>
      </c>
    </row>
    <row r="35">
      <c r="A35" s="1" t="s">
        <v>53</v>
      </c>
      <c r="B35" s="2">
        <v>250319.0</v>
      </c>
      <c r="C35" s="1">
        <v>7.0</v>
      </c>
      <c r="E35" s="1">
        <v>1.0</v>
      </c>
      <c r="F35" s="1" t="s">
        <v>21</v>
      </c>
      <c r="G35" s="1"/>
      <c r="H35" s="6">
        <v>31084.0</v>
      </c>
      <c r="I35" s="6"/>
      <c r="J35" s="6"/>
      <c r="K35" s="6"/>
      <c r="L35" s="1">
        <v>111.0</v>
      </c>
      <c r="M35" s="1" t="s">
        <v>22</v>
      </c>
      <c r="N35" s="1"/>
      <c r="O35" s="6">
        <v>30500.0</v>
      </c>
      <c r="P35" s="6"/>
      <c r="Q35" s="6"/>
      <c r="R35" s="6"/>
      <c r="S35" s="1">
        <v>1.0</v>
      </c>
      <c r="T35" s="1" t="s">
        <v>23</v>
      </c>
      <c r="U35" s="1">
        <v>617.0</v>
      </c>
      <c r="V35" s="6">
        <v>29863.0</v>
      </c>
      <c r="W35" s="6">
        <v>174468.0</v>
      </c>
      <c r="X35" s="6">
        <v>10.0</v>
      </c>
      <c r="Y35" s="6"/>
      <c r="Z35" s="1">
        <v>2.0</v>
      </c>
      <c r="AA35" s="1" t="s">
        <v>23</v>
      </c>
      <c r="AB35" s="1">
        <v>598.0</v>
      </c>
      <c r="AC35" s="6">
        <v>29231.0</v>
      </c>
      <c r="AD35" s="6">
        <v>402485.0</v>
      </c>
      <c r="AE35" s="6">
        <v>9.0</v>
      </c>
      <c r="AF35" s="6"/>
      <c r="AG35" s="3">
        <f t="shared" si="4"/>
        <v>2</v>
      </c>
    </row>
    <row r="36">
      <c r="A36" s="1" t="s">
        <v>54</v>
      </c>
      <c r="B36" s="2">
        <v>351995.0</v>
      </c>
      <c r="C36" s="1">
        <v>11.0</v>
      </c>
      <c r="E36" s="1">
        <v>4.0</v>
      </c>
      <c r="F36" s="1" t="s">
        <v>22</v>
      </c>
      <c r="G36" s="1"/>
      <c r="H36" s="6">
        <v>12609.0</v>
      </c>
      <c r="I36" s="6"/>
      <c r="J36" s="6"/>
      <c r="K36" s="6"/>
      <c r="L36" s="1">
        <v>4.0</v>
      </c>
      <c r="M36" s="1" t="s">
        <v>22</v>
      </c>
      <c r="N36" s="1"/>
      <c r="O36" s="6">
        <v>41077.0</v>
      </c>
      <c r="P36" s="6"/>
      <c r="Q36" s="6"/>
      <c r="R36" s="6"/>
      <c r="S36" s="1">
        <v>23.0</v>
      </c>
      <c r="T36" s="1" t="s">
        <v>55</v>
      </c>
      <c r="V36" s="6">
        <v>41164.0</v>
      </c>
      <c r="W36" s="6"/>
      <c r="X36" s="6"/>
      <c r="Y36" s="6"/>
      <c r="Z36" s="1">
        <v>57.0</v>
      </c>
      <c r="AA36" s="1" t="s">
        <v>23</v>
      </c>
      <c r="AB36" s="1">
        <v>1484.0</v>
      </c>
      <c r="AC36" s="6">
        <v>37683.0</v>
      </c>
      <c r="AD36" s="6">
        <v>343295.0</v>
      </c>
      <c r="AE36" s="6">
        <v>13.0</v>
      </c>
      <c r="AF36" s="6"/>
      <c r="AG36" s="3">
        <f t="shared" si="4"/>
        <v>1</v>
      </c>
    </row>
    <row r="37">
      <c r="A37" s="1" t="s">
        <v>56</v>
      </c>
      <c r="B37" s="2">
        <v>202745.0</v>
      </c>
      <c r="C37" s="1">
        <v>7.0</v>
      </c>
      <c r="E37" s="1">
        <v>35.0</v>
      </c>
      <c r="F37" s="1" t="s">
        <v>22</v>
      </c>
      <c r="G37" s="1"/>
      <c r="H37" s="6">
        <v>11800.0</v>
      </c>
      <c r="I37" s="6"/>
      <c r="J37" s="6"/>
      <c r="K37" s="6"/>
      <c r="L37" s="1">
        <v>2.0</v>
      </c>
      <c r="M37" s="1" t="s">
        <v>21</v>
      </c>
      <c r="N37" s="1"/>
      <c r="O37" s="6">
        <v>33043.0</v>
      </c>
      <c r="P37" s="6"/>
      <c r="Q37" s="6"/>
      <c r="R37" s="6"/>
      <c r="S37" s="1">
        <v>1.0</v>
      </c>
      <c r="T37" s="1" t="s">
        <v>23</v>
      </c>
      <c r="U37" s="1">
        <v>609.0</v>
      </c>
      <c r="V37" s="6">
        <v>33604.0</v>
      </c>
      <c r="W37" s="6">
        <v>130124.0</v>
      </c>
      <c r="X37" s="6">
        <v>8.0</v>
      </c>
      <c r="Y37" s="6"/>
      <c r="Z37" s="1">
        <v>7.0</v>
      </c>
      <c r="AA37" s="1" t="s">
        <v>23</v>
      </c>
      <c r="AB37" s="1">
        <v>641.0</v>
      </c>
      <c r="AC37" s="6">
        <v>31321.0</v>
      </c>
      <c r="AD37" s="6">
        <v>163714.0</v>
      </c>
      <c r="AE37" s="6">
        <v>7.0</v>
      </c>
      <c r="AF37" s="6"/>
      <c r="AG37" s="3">
        <f t="shared" si="4"/>
        <v>2</v>
      </c>
    </row>
    <row r="38">
      <c r="A38" s="1" t="s">
        <v>57</v>
      </c>
      <c r="B38" s="2">
        <v>285476.0</v>
      </c>
      <c r="C38" s="1">
        <v>22.0</v>
      </c>
      <c r="E38" s="1">
        <v>3.0</v>
      </c>
      <c r="F38" s="1" t="s">
        <v>23</v>
      </c>
      <c r="G38" s="1">
        <v>1574.0</v>
      </c>
      <c r="H38" s="6">
        <v>32248.0</v>
      </c>
      <c r="I38" s="6">
        <v>136986.0</v>
      </c>
      <c r="J38" s="6">
        <v>9.0</v>
      </c>
      <c r="K38" s="6"/>
      <c r="L38" s="1">
        <v>11.0</v>
      </c>
      <c r="M38" s="1" t="s">
        <v>23</v>
      </c>
      <c r="N38" s="1">
        <v>1349.0</v>
      </c>
      <c r="O38" s="6">
        <v>53210.0</v>
      </c>
      <c r="P38" s="6">
        <v>171914.0</v>
      </c>
      <c r="Q38" s="6">
        <v>18.0</v>
      </c>
      <c r="R38" s="6"/>
      <c r="S38" s="1">
        <v>1.0</v>
      </c>
      <c r="T38" s="1" t="s">
        <v>23</v>
      </c>
      <c r="U38" s="1">
        <v>2087.0</v>
      </c>
      <c r="V38" s="6">
        <v>93849.0</v>
      </c>
      <c r="W38" s="6">
        <v>186562.0</v>
      </c>
      <c r="X38" s="6">
        <v>26.0</v>
      </c>
      <c r="Y38" s="6"/>
      <c r="Z38" s="1">
        <v>1.0</v>
      </c>
      <c r="AA38" s="1" t="s">
        <v>23</v>
      </c>
      <c r="AB38" s="1">
        <v>1824.0</v>
      </c>
      <c r="AC38" s="6">
        <v>65044.0</v>
      </c>
      <c r="AD38" s="6">
        <v>233084.0</v>
      </c>
      <c r="AE38" s="6">
        <v>14.0</v>
      </c>
      <c r="AF38" s="6"/>
      <c r="AG38" s="3">
        <f t="shared" si="4"/>
        <v>4</v>
      </c>
    </row>
    <row r="39">
      <c r="A39" s="1" t="s">
        <v>58</v>
      </c>
      <c r="B39" s="2">
        <v>225282.0</v>
      </c>
      <c r="C39" s="1">
        <v>13.0</v>
      </c>
      <c r="E39" s="1">
        <v>10.0</v>
      </c>
      <c r="F39" s="1" t="s">
        <v>23</v>
      </c>
      <c r="G39" s="1">
        <v>1366.0</v>
      </c>
      <c r="H39" s="6">
        <v>8580.0</v>
      </c>
      <c r="I39" s="6">
        <v>185572.0</v>
      </c>
      <c r="J39" s="6">
        <v>4.0</v>
      </c>
      <c r="K39" s="6"/>
      <c r="L39" s="1">
        <v>544.0</v>
      </c>
      <c r="M39" s="1" t="s">
        <v>22</v>
      </c>
      <c r="N39" s="1"/>
      <c r="O39" s="6">
        <v>56219.0</v>
      </c>
      <c r="P39" s="6"/>
      <c r="Q39" s="6"/>
      <c r="R39" s="6"/>
      <c r="S39" s="1">
        <v>3.0</v>
      </c>
      <c r="T39" s="1" t="s">
        <v>23</v>
      </c>
      <c r="U39" s="1">
        <v>874.0</v>
      </c>
      <c r="V39" s="6">
        <v>55331.0</v>
      </c>
      <c r="W39" s="6">
        <v>112737.0</v>
      </c>
      <c r="X39" s="6">
        <v>11.0</v>
      </c>
      <c r="Y39" s="6"/>
      <c r="Z39" s="1">
        <v>25.0</v>
      </c>
      <c r="AA39" s="1" t="s">
        <v>23</v>
      </c>
      <c r="AB39" s="1">
        <v>1241.0</v>
      </c>
      <c r="AC39" s="6">
        <v>51551.0</v>
      </c>
      <c r="AD39" s="6">
        <v>384178.0</v>
      </c>
      <c r="AE39" s="6">
        <v>16.0</v>
      </c>
      <c r="AF39" s="6"/>
      <c r="AG39" s="3">
        <f t="shared" si="4"/>
        <v>3</v>
      </c>
    </row>
    <row r="40">
      <c r="A40" s="1" t="s">
        <v>59</v>
      </c>
      <c r="B40" s="2">
        <v>286233.0</v>
      </c>
      <c r="C40" s="1">
        <v>16.0</v>
      </c>
      <c r="E40" s="1">
        <v>102.0</v>
      </c>
      <c r="F40" s="1" t="s">
        <v>23</v>
      </c>
      <c r="G40" s="1">
        <v>902.0</v>
      </c>
      <c r="H40" s="6">
        <v>15259.0</v>
      </c>
      <c r="I40" s="1" t="s">
        <v>60</v>
      </c>
      <c r="J40" s="3"/>
      <c r="K40" s="6"/>
      <c r="L40" s="1">
        <v>113.0</v>
      </c>
      <c r="M40" s="1" t="s">
        <v>22</v>
      </c>
      <c r="N40" s="1"/>
      <c r="O40" s="6">
        <v>64038.0</v>
      </c>
      <c r="P40" s="6"/>
      <c r="Q40" s="6"/>
      <c r="R40" s="6"/>
      <c r="S40" s="1">
        <v>25.0</v>
      </c>
      <c r="T40" s="1" t="s">
        <v>23</v>
      </c>
      <c r="U40" s="1">
        <v>904.0</v>
      </c>
      <c r="V40" s="6">
        <v>44295.0</v>
      </c>
      <c r="W40" s="6">
        <v>189572.0</v>
      </c>
      <c r="X40" s="6">
        <v>12.0</v>
      </c>
      <c r="Y40" s="6"/>
      <c r="Z40" s="1">
        <v>6.0</v>
      </c>
      <c r="AA40" s="1" t="s">
        <v>23</v>
      </c>
      <c r="AB40" s="1">
        <v>871.0</v>
      </c>
      <c r="AC40" s="6">
        <v>53787.0</v>
      </c>
      <c r="AD40" s="6">
        <v>262415.0</v>
      </c>
      <c r="AE40" s="6">
        <v>14.0</v>
      </c>
      <c r="AF40" s="6"/>
      <c r="AG40" s="3">
        <f t="shared" si="4"/>
        <v>3</v>
      </c>
    </row>
    <row r="41">
      <c r="A41" s="1" t="s">
        <v>61</v>
      </c>
      <c r="B41" s="2">
        <v>299011.0</v>
      </c>
      <c r="C41" s="1">
        <v>11.0</v>
      </c>
      <c r="E41" s="1">
        <v>3.0</v>
      </c>
      <c r="F41" s="1" t="s">
        <v>23</v>
      </c>
      <c r="G41" s="1">
        <v>1119.0</v>
      </c>
      <c r="H41" s="6">
        <v>30259.0</v>
      </c>
      <c r="I41" s="6">
        <v>81299.0</v>
      </c>
      <c r="J41" s="6">
        <v>8.0</v>
      </c>
      <c r="K41" s="6"/>
      <c r="L41" s="1">
        <v>2.0</v>
      </c>
      <c r="M41" s="1" t="s">
        <v>23</v>
      </c>
      <c r="N41" s="1">
        <v>542.0</v>
      </c>
      <c r="O41" s="6">
        <v>50545.0</v>
      </c>
      <c r="P41" s="6">
        <v>346913.0</v>
      </c>
      <c r="Q41" s="6">
        <v>15.0</v>
      </c>
      <c r="R41" s="6"/>
      <c r="S41" s="1">
        <v>1.0</v>
      </c>
      <c r="T41" s="1" t="s">
        <v>23</v>
      </c>
      <c r="U41" s="1">
        <v>1184.0</v>
      </c>
      <c r="V41" s="6">
        <v>53026.0</v>
      </c>
      <c r="W41" s="6">
        <v>136765.0</v>
      </c>
      <c r="X41" s="6">
        <v>13.0</v>
      </c>
      <c r="Y41" s="6"/>
      <c r="Z41" s="1">
        <v>1.0</v>
      </c>
      <c r="AA41" s="1" t="s">
        <v>23</v>
      </c>
      <c r="AB41" s="1">
        <v>1393.0</v>
      </c>
      <c r="AC41" s="6">
        <v>49854.0</v>
      </c>
      <c r="AD41" s="6">
        <v>189649.0</v>
      </c>
      <c r="AE41" s="6">
        <v>11.0</v>
      </c>
      <c r="AF41" s="6"/>
      <c r="AG41" s="3">
        <f t="shared" si="4"/>
        <v>4</v>
      </c>
    </row>
    <row r="42">
      <c r="A42" s="1" t="s">
        <v>62</v>
      </c>
      <c r="B42" s="2">
        <v>283922.0</v>
      </c>
      <c r="C42" s="1">
        <v>9.0</v>
      </c>
      <c r="E42" s="1">
        <v>18.0</v>
      </c>
      <c r="F42" s="1" t="s">
        <v>21</v>
      </c>
      <c r="G42" s="1"/>
      <c r="H42" s="6">
        <v>36474.0</v>
      </c>
      <c r="I42" s="6"/>
      <c r="J42" s="6"/>
      <c r="K42" s="6"/>
      <c r="L42" s="1">
        <v>246.0</v>
      </c>
      <c r="M42" s="1" t="s">
        <v>23</v>
      </c>
      <c r="N42" s="1">
        <v>902.0</v>
      </c>
      <c r="O42" s="6">
        <v>42136.0</v>
      </c>
      <c r="P42" s="6">
        <v>404674.0</v>
      </c>
      <c r="Q42" s="6">
        <v>14.0</v>
      </c>
      <c r="R42" s="6"/>
      <c r="S42" s="1">
        <v>107.0</v>
      </c>
      <c r="T42" s="1" t="s">
        <v>23</v>
      </c>
      <c r="U42" s="1">
        <v>991.0</v>
      </c>
      <c r="V42" s="6">
        <v>42618.0</v>
      </c>
      <c r="W42" s="6">
        <v>151851.0</v>
      </c>
      <c r="X42" s="6">
        <v>10.0</v>
      </c>
      <c r="Y42" s="6"/>
      <c r="Z42" s="1">
        <v>107.0</v>
      </c>
      <c r="AA42" s="1" t="s">
        <v>22</v>
      </c>
      <c r="AB42" s="1"/>
      <c r="AC42" s="6">
        <v>49967.0</v>
      </c>
      <c r="AD42" s="6"/>
      <c r="AE42" s="6"/>
      <c r="AF42" s="6"/>
      <c r="AG42" s="3">
        <f t="shared" si="4"/>
        <v>2</v>
      </c>
    </row>
    <row r="43">
      <c r="A43" s="1" t="s">
        <v>63</v>
      </c>
      <c r="B43" s="2">
        <v>178566.0</v>
      </c>
      <c r="C43" s="1">
        <v>13.0</v>
      </c>
      <c r="E43" s="1">
        <v>1.0</v>
      </c>
      <c r="F43" s="1" t="s">
        <v>21</v>
      </c>
      <c r="G43" s="1"/>
      <c r="H43" s="6">
        <v>15328.0</v>
      </c>
      <c r="I43" s="6"/>
      <c r="J43" s="6"/>
      <c r="K43" s="6"/>
      <c r="L43" s="1">
        <v>67.0</v>
      </c>
      <c r="M43" s="1" t="s">
        <v>23</v>
      </c>
      <c r="N43" s="1">
        <v>956.0</v>
      </c>
      <c r="O43" s="6">
        <v>69003.0</v>
      </c>
      <c r="P43" s="6">
        <v>183653.0</v>
      </c>
      <c r="Q43" s="6">
        <v>18.0</v>
      </c>
      <c r="R43" s="6"/>
      <c r="S43" s="1">
        <v>2.0</v>
      </c>
      <c r="T43" s="1" t="s">
        <v>23</v>
      </c>
      <c r="U43" s="1">
        <v>1367.0</v>
      </c>
      <c r="V43" s="6">
        <v>68223.0</v>
      </c>
      <c r="W43" s="6">
        <v>147528.0</v>
      </c>
      <c r="X43" s="6">
        <v>11.0</v>
      </c>
      <c r="Y43" s="6"/>
      <c r="Z43" s="1">
        <v>1.0</v>
      </c>
      <c r="AA43" s="1" t="s">
        <v>23</v>
      </c>
      <c r="AB43" s="1">
        <v>1032.0</v>
      </c>
      <c r="AC43" s="6">
        <v>64858.0</v>
      </c>
      <c r="AD43" s="6">
        <v>119496.0</v>
      </c>
      <c r="AE43" s="6">
        <v>18.0</v>
      </c>
      <c r="AF43" s="6"/>
      <c r="AG43" s="3">
        <f t="shared" si="4"/>
        <v>3</v>
      </c>
    </row>
    <row r="44">
      <c r="A44" s="1" t="s">
        <v>64</v>
      </c>
      <c r="B44" s="2">
        <v>244717.0</v>
      </c>
      <c r="C44" s="1">
        <v>17.0</v>
      </c>
      <c r="E44" s="1">
        <v>1.0</v>
      </c>
      <c r="F44" s="1" t="s">
        <v>21</v>
      </c>
      <c r="G44" s="1"/>
      <c r="H44" s="6">
        <v>32018.0</v>
      </c>
      <c r="I44" s="6"/>
      <c r="J44" s="6"/>
      <c r="K44" s="6"/>
      <c r="L44" s="1">
        <v>109.0</v>
      </c>
      <c r="M44" s="1" t="s">
        <v>22</v>
      </c>
      <c r="N44" s="1"/>
      <c r="O44" s="6">
        <v>46407.0</v>
      </c>
      <c r="P44" s="6"/>
      <c r="Q44" s="6"/>
      <c r="R44" s="6"/>
      <c r="S44" s="1">
        <v>156.0</v>
      </c>
      <c r="T44" s="1" t="s">
        <v>22</v>
      </c>
      <c r="U44" s="1"/>
      <c r="V44" s="6">
        <v>88974.0</v>
      </c>
      <c r="W44" s="6"/>
      <c r="X44" s="6"/>
      <c r="Y44" s="6"/>
      <c r="Z44" s="1">
        <v>159.0</v>
      </c>
      <c r="AA44" s="1" t="s">
        <v>22</v>
      </c>
      <c r="AB44" s="1"/>
      <c r="AC44" s="6">
        <v>53683.0</v>
      </c>
      <c r="AD44" s="6"/>
      <c r="AE44" s="6"/>
      <c r="AF44" s="6"/>
      <c r="AG44" s="3">
        <f t="shared" si="4"/>
        <v>0</v>
      </c>
    </row>
    <row r="45">
      <c r="A45" s="1" t="s">
        <v>65</v>
      </c>
      <c r="B45" s="2">
        <v>264002.0</v>
      </c>
      <c r="C45" s="1">
        <v>8.0</v>
      </c>
      <c r="E45" s="1">
        <v>4.0</v>
      </c>
      <c r="F45" s="1" t="s">
        <v>22</v>
      </c>
      <c r="G45" s="1"/>
      <c r="H45" s="6">
        <v>31093.0</v>
      </c>
      <c r="I45" s="6"/>
      <c r="J45" s="6"/>
      <c r="K45" s="6"/>
      <c r="L45" s="1">
        <v>109.0</v>
      </c>
      <c r="M45" s="1" t="s">
        <v>22</v>
      </c>
      <c r="N45" s="1"/>
      <c r="O45" s="6">
        <v>40224.0</v>
      </c>
      <c r="P45" s="6"/>
      <c r="Q45" s="6"/>
      <c r="R45" s="6"/>
      <c r="S45" s="1">
        <v>6.0</v>
      </c>
      <c r="T45" s="1" t="s">
        <v>23</v>
      </c>
      <c r="U45" s="1">
        <v>904.0</v>
      </c>
      <c r="V45" s="6">
        <v>41251.0</v>
      </c>
      <c r="W45" s="6">
        <v>185773.0</v>
      </c>
      <c r="X45" s="6">
        <v>8.0</v>
      </c>
      <c r="Y45" s="6"/>
      <c r="Z45" s="1">
        <v>4.0</v>
      </c>
      <c r="AA45" s="1" t="s">
        <v>23</v>
      </c>
      <c r="AB45" s="1">
        <v>868.0</v>
      </c>
      <c r="AC45" s="6">
        <v>38258.0</v>
      </c>
      <c r="AD45" s="6">
        <v>288783.0</v>
      </c>
      <c r="AE45" s="6">
        <v>9.0</v>
      </c>
      <c r="AF45" s="6"/>
      <c r="AG45" s="3">
        <f t="shared" si="4"/>
        <v>2</v>
      </c>
    </row>
    <row r="46">
      <c r="A46" s="1" t="s">
        <v>66</v>
      </c>
      <c r="B46" s="2">
        <v>176463.0</v>
      </c>
      <c r="C46" s="1">
        <v>13.0</v>
      </c>
      <c r="E46" s="1">
        <v>2.0</v>
      </c>
      <c r="F46" s="1" t="s">
        <v>21</v>
      </c>
      <c r="G46" s="1"/>
      <c r="H46" s="6">
        <v>32724.0</v>
      </c>
      <c r="I46" s="6"/>
      <c r="J46" s="6"/>
      <c r="K46" s="6"/>
      <c r="L46" s="1">
        <v>2.0</v>
      </c>
      <c r="M46" s="1" t="s">
        <v>22</v>
      </c>
      <c r="N46" s="1"/>
      <c r="O46" s="6">
        <v>64533.0</v>
      </c>
      <c r="P46" s="6"/>
      <c r="Q46" s="6"/>
      <c r="R46" s="6"/>
      <c r="S46" s="1">
        <v>8.0</v>
      </c>
      <c r="T46" s="1" t="s">
        <v>23</v>
      </c>
      <c r="U46" s="1">
        <v>989.0</v>
      </c>
      <c r="V46" s="6">
        <v>61417.0</v>
      </c>
      <c r="W46" s="6">
        <v>149364.0</v>
      </c>
      <c r="X46" s="6">
        <v>11.0</v>
      </c>
      <c r="Y46" s="6"/>
      <c r="Z46" s="1">
        <v>1.0</v>
      </c>
      <c r="AA46" s="1" t="s">
        <v>23</v>
      </c>
      <c r="AB46" s="1">
        <v>1031.0</v>
      </c>
      <c r="AC46" s="6">
        <v>59190.0</v>
      </c>
      <c r="AD46" s="6">
        <v>253487.0</v>
      </c>
      <c r="AE46" s="6">
        <v>15.0</v>
      </c>
      <c r="AF46" s="6"/>
      <c r="AG46" s="3">
        <f t="shared" si="4"/>
        <v>2</v>
      </c>
    </row>
    <row r="47">
      <c r="A47" s="1" t="s">
        <v>67</v>
      </c>
      <c r="B47" s="2">
        <v>267281.0</v>
      </c>
      <c r="C47" s="1">
        <v>16.0</v>
      </c>
      <c r="E47" s="1">
        <v>4.0</v>
      </c>
      <c r="F47" s="1" t="s">
        <v>22</v>
      </c>
      <c r="G47" s="1"/>
      <c r="H47" s="6">
        <v>23271.0</v>
      </c>
      <c r="I47" s="6"/>
      <c r="J47" s="6"/>
      <c r="K47" s="6"/>
      <c r="L47" s="1">
        <v>110.0</v>
      </c>
      <c r="M47" s="1" t="s">
        <v>22</v>
      </c>
      <c r="N47" s="1"/>
      <c r="O47" s="6">
        <v>64564.0</v>
      </c>
      <c r="P47" s="6"/>
      <c r="Q47" s="6"/>
      <c r="R47" s="6"/>
      <c r="S47" s="1">
        <v>59.0</v>
      </c>
      <c r="T47" s="1" t="s">
        <v>23</v>
      </c>
      <c r="U47" s="1">
        <v>862.0</v>
      </c>
      <c r="V47" s="6">
        <v>72202.0</v>
      </c>
      <c r="W47" s="6">
        <v>215155.0</v>
      </c>
      <c r="X47" s="6">
        <v>18.0</v>
      </c>
      <c r="Y47" s="6"/>
      <c r="Z47" s="1">
        <v>4.0</v>
      </c>
      <c r="AA47" s="1" t="s">
        <v>21</v>
      </c>
      <c r="AB47" s="1"/>
      <c r="AC47" s="6">
        <v>67155.0</v>
      </c>
      <c r="AD47" s="6"/>
      <c r="AE47" s="6"/>
      <c r="AF47" s="6"/>
      <c r="AG47" s="3">
        <f t="shared" si="4"/>
        <v>1</v>
      </c>
    </row>
    <row r="48">
      <c r="A48" s="1" t="s">
        <v>68</v>
      </c>
      <c r="B48" s="2">
        <v>352088.0</v>
      </c>
      <c r="C48" s="1">
        <v>14.0</v>
      </c>
      <c r="E48" s="1">
        <v>23.0</v>
      </c>
      <c r="F48" s="1" t="s">
        <v>21</v>
      </c>
      <c r="G48" s="1"/>
      <c r="H48" s="6">
        <v>40273.0</v>
      </c>
      <c r="I48" s="6"/>
      <c r="J48" s="6"/>
      <c r="K48" s="6"/>
      <c r="L48" s="1">
        <v>121.0</v>
      </c>
      <c r="M48" s="1" t="s">
        <v>22</v>
      </c>
      <c r="N48" s="1"/>
      <c r="O48" s="6">
        <v>81946.0</v>
      </c>
      <c r="P48" s="6"/>
      <c r="Q48" s="6"/>
      <c r="R48" s="6"/>
      <c r="S48" s="1">
        <v>1.0</v>
      </c>
      <c r="T48" s="1" t="s">
        <v>23</v>
      </c>
      <c r="U48" s="1">
        <v>1140.0</v>
      </c>
      <c r="V48" s="6">
        <v>64934.0</v>
      </c>
      <c r="W48" s="6">
        <v>173114.0</v>
      </c>
      <c r="X48" s="6">
        <v>19.0</v>
      </c>
      <c r="Y48" s="6"/>
      <c r="Z48" s="1">
        <v>1.0</v>
      </c>
      <c r="AA48" s="1" t="s">
        <v>23</v>
      </c>
      <c r="AB48" s="1">
        <v>1361.0</v>
      </c>
      <c r="AC48" s="6">
        <v>60458.0</v>
      </c>
      <c r="AD48" s="6">
        <v>189031.0</v>
      </c>
      <c r="AE48" s="6">
        <v>15.0</v>
      </c>
      <c r="AF48" s="6"/>
      <c r="AG48" s="3">
        <f t="shared" si="4"/>
        <v>2</v>
      </c>
    </row>
    <row r="49">
      <c r="A49" s="1" t="s">
        <v>69</v>
      </c>
      <c r="B49" s="2">
        <v>305469.0</v>
      </c>
      <c r="C49" s="1">
        <v>18.0</v>
      </c>
      <c r="E49" s="1">
        <v>2.0</v>
      </c>
      <c r="F49" s="1" t="s">
        <v>21</v>
      </c>
      <c r="G49" s="1"/>
      <c r="H49" s="6">
        <v>60055.0</v>
      </c>
      <c r="I49" s="6"/>
      <c r="J49" s="6"/>
      <c r="K49" s="6"/>
      <c r="L49" s="1">
        <v>4.0</v>
      </c>
      <c r="M49" s="1" t="s">
        <v>21</v>
      </c>
      <c r="N49" s="1"/>
      <c r="O49" s="6">
        <v>58362.0</v>
      </c>
      <c r="P49" s="6"/>
      <c r="Q49" s="6"/>
      <c r="R49" s="6"/>
      <c r="S49" s="1">
        <v>90.0</v>
      </c>
      <c r="T49" s="1" t="s">
        <v>23</v>
      </c>
      <c r="U49" s="1">
        <v>1021.0</v>
      </c>
      <c r="V49" s="6">
        <v>90318.0</v>
      </c>
      <c r="W49" s="6">
        <v>157747.0</v>
      </c>
      <c r="X49" s="6">
        <v>25.0</v>
      </c>
      <c r="Y49" s="6"/>
      <c r="Z49" s="1">
        <v>1.0</v>
      </c>
      <c r="AA49" s="1" t="s">
        <v>23</v>
      </c>
      <c r="AB49" s="1">
        <v>1197.0</v>
      </c>
      <c r="AC49" s="6">
        <v>84061.0</v>
      </c>
      <c r="AD49" s="6">
        <v>352840.0</v>
      </c>
      <c r="AE49" s="6">
        <v>15.0</v>
      </c>
      <c r="AF49" s="6"/>
      <c r="AG49" s="3">
        <f t="shared" si="4"/>
        <v>2</v>
      </c>
    </row>
    <row r="50">
      <c r="A50" s="1" t="s">
        <v>70</v>
      </c>
      <c r="B50" s="2">
        <v>246522.0</v>
      </c>
      <c r="C50" s="1">
        <v>11.0</v>
      </c>
      <c r="E50" s="1">
        <v>113.0</v>
      </c>
      <c r="F50" s="1" t="s">
        <v>22</v>
      </c>
      <c r="G50" s="1"/>
      <c r="H50" s="6">
        <v>37753.0</v>
      </c>
      <c r="I50" s="6"/>
      <c r="J50" s="6"/>
      <c r="K50" s="6"/>
      <c r="L50" s="1">
        <v>110.0</v>
      </c>
      <c r="M50" s="1" t="s">
        <v>22</v>
      </c>
      <c r="N50" s="1"/>
      <c r="O50" s="6">
        <v>44898.0</v>
      </c>
      <c r="P50" s="6"/>
      <c r="Q50" s="6"/>
      <c r="R50" s="6"/>
      <c r="S50" s="1">
        <v>11.0</v>
      </c>
      <c r="T50" s="1" t="s">
        <v>23</v>
      </c>
      <c r="U50" s="1">
        <v>1328.0</v>
      </c>
      <c r="V50" s="6">
        <v>57164.0</v>
      </c>
      <c r="W50" s="6">
        <v>133271.0</v>
      </c>
      <c r="X50" s="6">
        <v>13.0</v>
      </c>
      <c r="Y50" s="6"/>
      <c r="Z50" s="1">
        <v>27.0</v>
      </c>
      <c r="AA50" s="1" t="s">
        <v>23</v>
      </c>
      <c r="AB50" s="1">
        <v>1310.0</v>
      </c>
      <c r="AC50" s="6">
        <v>55361.0</v>
      </c>
      <c r="AD50" s="6">
        <v>220323.0</v>
      </c>
      <c r="AE50" s="6">
        <v>13.0</v>
      </c>
      <c r="AF50" s="6"/>
      <c r="AG50" s="3">
        <f t="shared" si="4"/>
        <v>2</v>
      </c>
    </row>
    <row r="51">
      <c r="A51" s="1" t="s">
        <v>71</v>
      </c>
      <c r="B51" s="2">
        <v>243017.0</v>
      </c>
      <c r="C51" s="1">
        <v>13.0</v>
      </c>
      <c r="E51" s="1">
        <v>131.0</v>
      </c>
      <c r="F51" s="1" t="s">
        <v>22</v>
      </c>
      <c r="G51" s="1"/>
      <c r="H51" s="6">
        <v>41185.0</v>
      </c>
      <c r="I51" s="6"/>
      <c r="J51" s="6"/>
      <c r="K51" s="6"/>
      <c r="L51" s="1">
        <v>185.0</v>
      </c>
      <c r="M51" s="1" t="s">
        <v>22</v>
      </c>
      <c r="N51" s="1"/>
      <c r="O51" s="6">
        <v>68246.0</v>
      </c>
      <c r="P51" s="6"/>
      <c r="Q51" s="6"/>
      <c r="R51" s="6"/>
      <c r="S51" s="1">
        <v>9.0</v>
      </c>
      <c r="T51" s="1" t="s">
        <v>23</v>
      </c>
      <c r="U51" s="1">
        <v>544.0</v>
      </c>
      <c r="V51" s="6">
        <v>46521.0</v>
      </c>
      <c r="W51" s="6">
        <v>151918.0</v>
      </c>
      <c r="X51" s="6">
        <v>14.0</v>
      </c>
      <c r="Y51" s="6"/>
      <c r="Z51" s="1">
        <v>1.0</v>
      </c>
      <c r="AA51" s="1" t="s">
        <v>23</v>
      </c>
      <c r="AB51" s="1">
        <v>562.0</v>
      </c>
      <c r="AC51" s="6">
        <v>30087.0</v>
      </c>
      <c r="AD51" s="6">
        <v>225008.0</v>
      </c>
      <c r="AE51" s="6">
        <v>10.0</v>
      </c>
      <c r="AF51" s="6"/>
      <c r="AG51" s="3">
        <f t="shared" si="4"/>
        <v>2</v>
      </c>
    </row>
    <row r="52">
      <c r="A52" s="1" t="s">
        <v>72</v>
      </c>
      <c r="B52" s="2">
        <v>263179.0</v>
      </c>
      <c r="C52" s="1">
        <v>14.0</v>
      </c>
      <c r="E52" s="1">
        <v>4.0</v>
      </c>
      <c r="F52" s="1" t="s">
        <v>22</v>
      </c>
      <c r="G52" s="1"/>
      <c r="H52" s="6">
        <v>34691.0</v>
      </c>
      <c r="I52" s="6"/>
      <c r="J52" s="6"/>
      <c r="K52" s="6"/>
      <c r="L52" s="1">
        <v>4.0</v>
      </c>
      <c r="M52" s="1" t="s">
        <v>21</v>
      </c>
      <c r="N52" s="1"/>
      <c r="O52" s="6">
        <v>55683.0</v>
      </c>
      <c r="P52" s="6"/>
      <c r="Q52" s="6"/>
      <c r="R52" s="6"/>
      <c r="S52" s="1">
        <v>4.0</v>
      </c>
      <c r="T52" s="1" t="s">
        <v>23</v>
      </c>
      <c r="U52" s="1">
        <v>1521.0</v>
      </c>
      <c r="V52" s="6">
        <v>68151.0</v>
      </c>
      <c r="W52" s="6">
        <v>182956.0</v>
      </c>
      <c r="X52" s="6">
        <v>19.0</v>
      </c>
      <c r="Y52" s="6"/>
      <c r="Z52" s="1">
        <v>8.0</v>
      </c>
      <c r="AA52" s="1" t="s">
        <v>23</v>
      </c>
      <c r="AB52" s="1">
        <v>1456.0</v>
      </c>
      <c r="AC52" s="6">
        <v>61750.0</v>
      </c>
      <c r="AD52" s="6">
        <v>248086.0</v>
      </c>
      <c r="AE52" s="6">
        <v>15.0</v>
      </c>
      <c r="AF52" s="6"/>
      <c r="AG52" s="3">
        <f t="shared" si="4"/>
        <v>2</v>
      </c>
    </row>
    <row r="53">
      <c r="A53" s="1" t="s">
        <v>73</v>
      </c>
      <c r="B53" s="2">
        <v>206837.0</v>
      </c>
      <c r="C53" s="1">
        <v>11.0</v>
      </c>
      <c r="E53" s="1">
        <v>2.0</v>
      </c>
      <c r="F53" s="1" t="s">
        <v>23</v>
      </c>
      <c r="G53" s="1">
        <v>1266.0</v>
      </c>
      <c r="H53" s="6">
        <v>51830.0</v>
      </c>
      <c r="I53" s="6">
        <v>328258.0</v>
      </c>
      <c r="J53" s="6">
        <v>8.0</v>
      </c>
      <c r="K53" s="6"/>
      <c r="L53" s="7">
        <v>15.0</v>
      </c>
      <c r="M53" s="8" t="s">
        <v>23</v>
      </c>
      <c r="N53" s="8">
        <v>783.0</v>
      </c>
      <c r="O53" s="6">
        <v>33423.0</v>
      </c>
      <c r="P53" s="6">
        <v>418107.0</v>
      </c>
      <c r="Q53" s="6">
        <v>16.0</v>
      </c>
      <c r="R53" s="6"/>
      <c r="S53" s="7">
        <v>1.0</v>
      </c>
      <c r="T53" s="1" t="s">
        <v>23</v>
      </c>
      <c r="U53" s="1">
        <v>822.0</v>
      </c>
      <c r="V53" s="6">
        <v>55107.0</v>
      </c>
      <c r="W53" s="6">
        <v>88121.0</v>
      </c>
      <c r="X53" s="6">
        <v>7.0</v>
      </c>
      <c r="Y53" s="6"/>
      <c r="Z53" s="7">
        <v>2.0</v>
      </c>
      <c r="AA53" s="1" t="s">
        <v>23</v>
      </c>
      <c r="AB53" s="1">
        <v>1186.0</v>
      </c>
      <c r="AC53" s="6">
        <v>52678.0</v>
      </c>
      <c r="AD53" s="6">
        <v>389738.0</v>
      </c>
      <c r="AE53" s="6">
        <v>15.0</v>
      </c>
      <c r="AF53" s="6"/>
      <c r="AG53" s="3">
        <f t="shared" si="4"/>
        <v>4</v>
      </c>
    </row>
    <row r="54">
      <c r="A54" s="1" t="s">
        <v>74</v>
      </c>
      <c r="B54" s="2">
        <v>300281.0</v>
      </c>
      <c r="C54" s="1">
        <v>8.0</v>
      </c>
      <c r="E54" s="1">
        <v>6.0</v>
      </c>
      <c r="F54" s="1" t="s">
        <v>21</v>
      </c>
      <c r="G54" s="1"/>
      <c r="H54" s="6">
        <v>34735.0</v>
      </c>
      <c r="I54" s="6"/>
      <c r="J54" s="6"/>
      <c r="K54" s="6"/>
      <c r="L54" s="7">
        <v>2.0</v>
      </c>
      <c r="M54" s="9" t="s">
        <v>21</v>
      </c>
      <c r="N54" s="9"/>
      <c r="O54" s="6">
        <v>51224.0</v>
      </c>
      <c r="P54" s="6"/>
      <c r="Q54" s="6"/>
      <c r="R54" s="6"/>
      <c r="S54" s="7">
        <v>1.0</v>
      </c>
      <c r="T54" s="1" t="s">
        <v>23</v>
      </c>
      <c r="U54" s="1">
        <v>696.0</v>
      </c>
      <c r="V54" s="6">
        <v>34191.0</v>
      </c>
      <c r="W54" s="6">
        <v>121779.0</v>
      </c>
      <c r="X54" s="6">
        <v>8.0</v>
      </c>
      <c r="Y54" s="6"/>
      <c r="Z54" s="7">
        <v>1.0</v>
      </c>
      <c r="AA54" s="1" t="s">
        <v>23</v>
      </c>
      <c r="AB54" s="1">
        <v>758.0</v>
      </c>
      <c r="AC54" s="6">
        <v>33775.0</v>
      </c>
      <c r="AD54" s="6">
        <v>233670.0</v>
      </c>
      <c r="AE54" s="6">
        <v>13.0</v>
      </c>
      <c r="AF54" s="6"/>
      <c r="AG54" s="3">
        <f t="shared" si="4"/>
        <v>2</v>
      </c>
    </row>
    <row r="55">
      <c r="A55" s="1" t="s">
        <v>75</v>
      </c>
      <c r="B55" s="2">
        <v>261325.0</v>
      </c>
      <c r="C55" s="1">
        <v>11.0</v>
      </c>
      <c r="E55" s="1">
        <v>109.0</v>
      </c>
      <c r="F55" s="1" t="s">
        <v>21</v>
      </c>
      <c r="G55" s="1"/>
      <c r="H55" s="6">
        <v>34605.0</v>
      </c>
      <c r="I55" s="6"/>
      <c r="J55" s="6"/>
      <c r="K55" s="6"/>
      <c r="L55" s="7">
        <v>113.0</v>
      </c>
      <c r="M55" s="9" t="s">
        <v>22</v>
      </c>
      <c r="N55" s="1" t="s">
        <v>60</v>
      </c>
      <c r="O55" s="1" t="s">
        <v>60</v>
      </c>
      <c r="P55" s="1" t="s">
        <v>60</v>
      </c>
      <c r="Q55" s="1" t="s">
        <v>60</v>
      </c>
      <c r="R55" s="9"/>
      <c r="S55" s="7">
        <v>1.0</v>
      </c>
      <c r="T55" s="1" t="s">
        <v>23</v>
      </c>
      <c r="U55" s="1">
        <v>993.0</v>
      </c>
      <c r="V55" s="6">
        <v>41188.0</v>
      </c>
      <c r="W55" s="6">
        <v>144098.0</v>
      </c>
      <c r="X55" s="6">
        <v>8.0</v>
      </c>
      <c r="Y55" s="6"/>
      <c r="Z55" s="7">
        <v>7.0</v>
      </c>
      <c r="AA55" s="1" t="s">
        <v>23</v>
      </c>
      <c r="AB55" s="1">
        <v>1147.0</v>
      </c>
      <c r="AC55" s="6">
        <v>47457.0</v>
      </c>
      <c r="AD55" s="6">
        <v>223882.0</v>
      </c>
      <c r="AE55" s="6">
        <v>11.0</v>
      </c>
      <c r="AF55" s="6"/>
      <c r="AG55" s="3">
        <f t="shared" si="4"/>
        <v>2</v>
      </c>
    </row>
    <row r="58">
      <c r="A58" s="1" t="s">
        <v>12</v>
      </c>
      <c r="B58" s="4">
        <f t="shared" ref="B58:C58" si="5">MAX(B62:B111)</f>
        <v>26168502</v>
      </c>
      <c r="C58" s="3">
        <f t="shared" si="5"/>
        <v>22</v>
      </c>
      <c r="D58" s="1" t="s">
        <v>13</v>
      </c>
      <c r="E58" s="3">
        <f>AVERAGE(E62:E111)</f>
        <v>11.92</v>
      </c>
      <c r="L58" s="3">
        <f>AVERAGE(L62:L111)</f>
        <v>67.3877551</v>
      </c>
      <c r="S58" s="3">
        <f>AVERAGE(S62:S111)</f>
        <v>15.04</v>
      </c>
      <c r="Z58" s="3">
        <f>AVERAGE(Z62:Z111)</f>
        <v>8.14</v>
      </c>
    </row>
    <row r="59">
      <c r="A59" s="1" t="s">
        <v>14</v>
      </c>
      <c r="B59" s="4">
        <f t="shared" ref="B59:C59" si="6">AVERAGE(B62:B111)</f>
        <v>12111989.58</v>
      </c>
      <c r="C59" s="3">
        <f t="shared" si="6"/>
        <v>12.7</v>
      </c>
      <c r="D59" s="1" t="s">
        <v>15</v>
      </c>
      <c r="E59" s="3">
        <f>(COUNTIF(F62:F111, "SUCCESS") / 50)</f>
        <v>0.16</v>
      </c>
      <c r="L59" s="3">
        <f>(COUNTIF(M62:M111, "SUCCESS") / 50)</f>
        <v>0.18</v>
      </c>
      <c r="S59" s="3">
        <f>(COUNTIF(T62:T111, "SUCCESS") / 50)</f>
        <v>0.74</v>
      </c>
      <c r="Z59" s="3">
        <f>(COUNTIF(AA62:AA111, "SUCCESS") / 50)</f>
        <v>0.66</v>
      </c>
    </row>
    <row r="60">
      <c r="A60" s="1" t="s">
        <v>16</v>
      </c>
      <c r="B60" s="4">
        <f>Min(B62:B111)</f>
        <v>6360316</v>
      </c>
      <c r="C60" s="3">
        <f>MIN(C62:C111)</f>
        <v>7</v>
      </c>
      <c r="D60" s="1" t="s">
        <v>17</v>
      </c>
      <c r="E60" s="3">
        <f>MAX(E62:E111)</f>
        <v>137</v>
      </c>
      <c r="L60" s="3">
        <f>MAX(L62:L111)</f>
        <v>452</v>
      </c>
      <c r="S60" s="3">
        <f>MAX(S62:S111)</f>
        <v>148</v>
      </c>
      <c r="Z60" s="3">
        <f>MAX(Z62:Z111)</f>
        <v>80</v>
      </c>
    </row>
    <row r="61">
      <c r="A61" s="1" t="s">
        <v>76</v>
      </c>
      <c r="L61" s="9"/>
    </row>
    <row r="62">
      <c r="A62" s="1" t="s">
        <v>20</v>
      </c>
      <c r="B62" s="2">
        <v>1.0592244E7</v>
      </c>
      <c r="C62" s="1">
        <v>11.0</v>
      </c>
      <c r="E62" s="1">
        <v>5.0</v>
      </c>
      <c r="F62" s="1" t="s">
        <v>21</v>
      </c>
      <c r="G62" s="1"/>
      <c r="H62" s="6">
        <v>33598.0</v>
      </c>
      <c r="I62" s="6"/>
      <c r="J62" s="6"/>
      <c r="K62" s="6"/>
      <c r="L62" s="7">
        <v>265.0</v>
      </c>
      <c r="M62" s="9" t="s">
        <v>21</v>
      </c>
      <c r="N62" s="9"/>
      <c r="O62" s="6">
        <v>49539.0</v>
      </c>
      <c r="P62" s="6"/>
      <c r="Q62" s="6"/>
      <c r="R62" s="6"/>
      <c r="S62" s="1">
        <v>21.0</v>
      </c>
      <c r="T62" s="1" t="s">
        <v>23</v>
      </c>
      <c r="U62" s="1">
        <v>33.0</v>
      </c>
      <c r="V62" s="6">
        <v>53252.0</v>
      </c>
      <c r="W62" s="6">
        <v>224055.0</v>
      </c>
      <c r="X62" s="6">
        <v>20.0</v>
      </c>
      <c r="Y62" s="6"/>
      <c r="Z62" s="1">
        <v>6.0</v>
      </c>
      <c r="AA62" s="1" t="s">
        <v>23</v>
      </c>
      <c r="AB62" s="1">
        <v>27.0</v>
      </c>
      <c r="AC62" s="6">
        <v>49349.0</v>
      </c>
      <c r="AD62" s="6">
        <v>283818.0</v>
      </c>
      <c r="AE62" s="6">
        <v>14.0</v>
      </c>
      <c r="AG62" s="3">
        <f t="shared" ref="AG62:AG111" si="7">COUNTIF(E62:AA62, "SUCCESS")</f>
        <v>2</v>
      </c>
    </row>
    <row r="63">
      <c r="A63" s="1" t="s">
        <v>24</v>
      </c>
      <c r="B63" s="2">
        <v>1.1045369E7</v>
      </c>
      <c r="C63" s="1">
        <v>12.0</v>
      </c>
      <c r="E63" s="1">
        <v>5.0</v>
      </c>
      <c r="F63" s="1" t="s">
        <v>22</v>
      </c>
      <c r="G63" s="1"/>
      <c r="H63" s="6">
        <v>31102.0</v>
      </c>
      <c r="I63" s="6"/>
      <c r="J63" s="6"/>
      <c r="K63" s="6"/>
      <c r="L63" s="7">
        <v>159.0</v>
      </c>
      <c r="M63" s="8" t="s">
        <v>23</v>
      </c>
      <c r="N63" s="8">
        <v>29.0</v>
      </c>
      <c r="O63" s="6">
        <v>48934.0</v>
      </c>
      <c r="P63" s="6">
        <v>339596.0</v>
      </c>
      <c r="Q63" s="6">
        <v>15.0</v>
      </c>
      <c r="R63" s="6"/>
      <c r="S63" s="1">
        <v>1.0</v>
      </c>
      <c r="T63" s="1" t="s">
        <v>23</v>
      </c>
      <c r="U63" s="1">
        <v>29.0</v>
      </c>
      <c r="V63" s="6">
        <v>55211.0</v>
      </c>
      <c r="W63" s="6">
        <v>377564.0</v>
      </c>
      <c r="X63" s="6">
        <v>15.0</v>
      </c>
      <c r="Y63" s="6"/>
      <c r="Z63" s="1">
        <v>15.0</v>
      </c>
      <c r="AA63" s="1" t="s">
        <v>21</v>
      </c>
      <c r="AB63" s="1"/>
      <c r="AC63" s="6">
        <v>50094.0</v>
      </c>
      <c r="AD63" s="6"/>
      <c r="AE63" s="6"/>
      <c r="AG63" s="3">
        <f t="shared" si="7"/>
        <v>2</v>
      </c>
    </row>
    <row r="64">
      <c r="A64" s="1" t="s">
        <v>25</v>
      </c>
      <c r="B64" s="2">
        <v>1.2164386E7</v>
      </c>
      <c r="C64" s="1">
        <v>13.0</v>
      </c>
      <c r="E64" s="1">
        <v>4.0</v>
      </c>
      <c r="F64" s="1" t="s">
        <v>22</v>
      </c>
      <c r="G64" s="1"/>
      <c r="H64" s="6">
        <v>41999.0</v>
      </c>
      <c r="I64" s="6"/>
      <c r="J64" s="6"/>
      <c r="K64" s="6"/>
      <c r="L64" s="7">
        <v>107.0</v>
      </c>
      <c r="M64" s="9" t="s">
        <v>22</v>
      </c>
      <c r="N64" s="9"/>
      <c r="O64" s="6">
        <v>40096.0</v>
      </c>
      <c r="P64" s="6"/>
      <c r="Q64" s="6"/>
      <c r="R64" s="6"/>
      <c r="S64" s="1">
        <v>1.0</v>
      </c>
      <c r="T64" s="1" t="s">
        <v>22</v>
      </c>
      <c r="V64" s="6">
        <v>58485.0</v>
      </c>
      <c r="W64" s="6">
        <v>208001.0</v>
      </c>
      <c r="X64" s="6">
        <v>17.0</v>
      </c>
      <c r="Y64" s="6"/>
      <c r="Z64" s="1">
        <v>11.0</v>
      </c>
      <c r="AA64" s="1" t="s">
        <v>23</v>
      </c>
      <c r="AB64" s="1">
        <v>28.0</v>
      </c>
      <c r="AC64" s="6">
        <v>52946.0</v>
      </c>
      <c r="AD64" s="6">
        <v>159511.0</v>
      </c>
      <c r="AE64" s="6">
        <v>11.0</v>
      </c>
      <c r="AF64" s="3"/>
      <c r="AG64" s="3">
        <f t="shared" si="7"/>
        <v>1</v>
      </c>
    </row>
    <row r="65">
      <c r="A65" s="1" t="s">
        <v>26</v>
      </c>
      <c r="B65" s="2">
        <v>1.6466623E7</v>
      </c>
      <c r="C65" s="1">
        <v>15.0</v>
      </c>
      <c r="E65" s="1">
        <v>3.0</v>
      </c>
      <c r="F65" s="1" t="s">
        <v>21</v>
      </c>
      <c r="G65" s="1"/>
      <c r="H65" s="6">
        <v>36273.0</v>
      </c>
      <c r="I65" s="6"/>
      <c r="J65" s="6"/>
      <c r="K65" s="6"/>
      <c r="L65" s="7">
        <v>2.0</v>
      </c>
      <c r="M65" s="9" t="s">
        <v>22</v>
      </c>
      <c r="N65" s="9"/>
      <c r="O65" s="6">
        <v>40096.0</v>
      </c>
      <c r="P65" s="6"/>
      <c r="Q65" s="6"/>
      <c r="R65" s="6"/>
      <c r="S65" s="1">
        <v>12.0</v>
      </c>
      <c r="T65" s="1" t="s">
        <v>23</v>
      </c>
      <c r="U65" s="1">
        <v>50.0</v>
      </c>
      <c r="V65" s="6">
        <v>65056.0</v>
      </c>
      <c r="W65" s="6">
        <v>181305.0</v>
      </c>
      <c r="X65" s="6">
        <v>28.0</v>
      </c>
      <c r="Y65" s="6"/>
      <c r="Z65" s="1">
        <v>17.0</v>
      </c>
      <c r="AA65" s="1" t="s">
        <v>23</v>
      </c>
      <c r="AB65" s="1">
        <v>33.0</v>
      </c>
      <c r="AC65" s="6">
        <v>77719.0</v>
      </c>
      <c r="AD65" s="6">
        <v>193749.0</v>
      </c>
      <c r="AE65" s="6">
        <v>11.0</v>
      </c>
      <c r="AF65" s="3"/>
      <c r="AG65" s="3">
        <f t="shared" si="7"/>
        <v>2</v>
      </c>
    </row>
    <row r="66">
      <c r="A66" s="1" t="s">
        <v>27</v>
      </c>
      <c r="B66" s="2">
        <v>1.3162904E7</v>
      </c>
      <c r="C66" s="1">
        <v>13.0</v>
      </c>
      <c r="E66" s="1">
        <v>9.0</v>
      </c>
      <c r="F66" s="1" t="s">
        <v>22</v>
      </c>
      <c r="G66" s="1"/>
      <c r="H66" s="6">
        <v>38572.0</v>
      </c>
      <c r="I66" s="6"/>
      <c r="J66" s="6"/>
      <c r="K66" s="6"/>
      <c r="L66" s="7">
        <v>2.0</v>
      </c>
      <c r="M66" s="9" t="s">
        <v>22</v>
      </c>
      <c r="N66" s="9"/>
      <c r="O66" s="6">
        <v>61142.0</v>
      </c>
      <c r="P66" s="6"/>
      <c r="Q66" s="6"/>
      <c r="R66" s="6"/>
      <c r="S66" s="1">
        <v>5.0</v>
      </c>
      <c r="T66" s="1" t="s">
        <v>23</v>
      </c>
      <c r="U66" s="1">
        <v>47.0</v>
      </c>
      <c r="V66" s="6">
        <v>61751.0</v>
      </c>
      <c r="W66" s="6">
        <v>204181.0</v>
      </c>
      <c r="X66" s="6">
        <v>26.0</v>
      </c>
      <c r="Y66" s="6"/>
      <c r="Z66" s="1">
        <v>7.0</v>
      </c>
      <c r="AA66" s="1" t="s">
        <v>23</v>
      </c>
      <c r="AB66" s="1">
        <v>37.0</v>
      </c>
      <c r="AC66" s="6">
        <v>60102.0</v>
      </c>
      <c r="AD66" s="6">
        <v>432629.0</v>
      </c>
      <c r="AE66" s="6">
        <v>16.0</v>
      </c>
      <c r="AG66" s="3">
        <f t="shared" si="7"/>
        <v>2</v>
      </c>
    </row>
    <row r="67">
      <c r="A67" s="1" t="s">
        <v>28</v>
      </c>
      <c r="B67" s="2">
        <v>8875083.0</v>
      </c>
      <c r="C67" s="1">
        <v>9.0</v>
      </c>
      <c r="E67" s="1">
        <v>4.0</v>
      </c>
      <c r="F67" s="1" t="s">
        <v>22</v>
      </c>
      <c r="G67" s="1"/>
      <c r="H67" s="6">
        <v>36811.0</v>
      </c>
      <c r="I67" s="6"/>
      <c r="J67" s="6"/>
      <c r="K67" s="6"/>
      <c r="L67" s="7">
        <v>2.0</v>
      </c>
      <c r="M67" s="9" t="s">
        <v>22</v>
      </c>
      <c r="N67" s="9"/>
      <c r="O67" s="6">
        <v>37884.0</v>
      </c>
      <c r="P67" s="6"/>
      <c r="Q67" s="6"/>
      <c r="R67" s="6"/>
      <c r="S67" s="1">
        <v>1.0</v>
      </c>
      <c r="T67" s="1" t="s">
        <v>23</v>
      </c>
      <c r="U67" s="1">
        <v>20.0</v>
      </c>
      <c r="V67" s="6">
        <v>38917.0</v>
      </c>
      <c r="W67" s="6">
        <v>195580.0</v>
      </c>
      <c r="X67" s="6">
        <v>11.0</v>
      </c>
      <c r="Y67" s="6"/>
      <c r="Z67" s="1">
        <v>1.0</v>
      </c>
      <c r="AA67" s="1" t="s">
        <v>23</v>
      </c>
      <c r="AB67" s="1">
        <v>18.0</v>
      </c>
      <c r="AC67" s="6">
        <v>40011.0</v>
      </c>
      <c r="AD67" s="6">
        <v>262292.0</v>
      </c>
      <c r="AE67" s="6">
        <v>9.0</v>
      </c>
      <c r="AG67" s="3">
        <f t="shared" si="7"/>
        <v>2</v>
      </c>
    </row>
    <row r="68">
      <c r="A68" s="1" t="s">
        <v>29</v>
      </c>
      <c r="B68" s="2">
        <v>1.0510617E7</v>
      </c>
      <c r="C68" s="1">
        <v>10.0</v>
      </c>
      <c r="E68" s="1">
        <v>137.0</v>
      </c>
      <c r="F68" s="1" t="s">
        <v>22</v>
      </c>
      <c r="G68" s="1"/>
      <c r="H68" s="6">
        <v>28371.0</v>
      </c>
      <c r="I68" s="6"/>
      <c r="J68" s="6"/>
      <c r="K68" s="6"/>
      <c r="L68" s="7">
        <v>2.0</v>
      </c>
      <c r="M68" s="9" t="s">
        <v>22</v>
      </c>
      <c r="N68" s="9"/>
      <c r="O68" s="6">
        <v>61522.0</v>
      </c>
      <c r="P68" s="6"/>
      <c r="Q68" s="6"/>
      <c r="R68" s="6"/>
      <c r="S68" s="1">
        <v>1.0</v>
      </c>
      <c r="T68" s="1" t="s">
        <v>23</v>
      </c>
      <c r="U68" s="1">
        <v>11.0</v>
      </c>
      <c r="V68" s="6">
        <v>647.0</v>
      </c>
      <c r="W68" s="6">
        <v>25407.0</v>
      </c>
      <c r="X68" s="6">
        <v>2.0</v>
      </c>
      <c r="Y68" s="6"/>
      <c r="Z68" s="1">
        <v>9.0</v>
      </c>
      <c r="AA68" s="1" t="s">
        <v>23</v>
      </c>
      <c r="AB68" s="1">
        <v>11.0</v>
      </c>
      <c r="AC68" s="6">
        <v>3002.0</v>
      </c>
      <c r="AD68" s="6">
        <v>113787.0</v>
      </c>
      <c r="AE68" s="6">
        <v>2.0</v>
      </c>
      <c r="AF68" s="3"/>
      <c r="AG68" s="3">
        <f t="shared" si="7"/>
        <v>2</v>
      </c>
    </row>
    <row r="69">
      <c r="A69" s="1" t="s">
        <v>30</v>
      </c>
      <c r="B69" s="2">
        <v>1.3511358E7</v>
      </c>
      <c r="C69" s="1">
        <v>14.0</v>
      </c>
      <c r="E69" s="1">
        <v>5.0</v>
      </c>
      <c r="F69" s="1" t="s">
        <v>22</v>
      </c>
      <c r="G69" s="1"/>
      <c r="H69" s="6">
        <v>21543.0</v>
      </c>
      <c r="I69" s="6"/>
      <c r="J69" s="6"/>
      <c r="K69" s="6"/>
      <c r="L69" s="7">
        <v>2.0</v>
      </c>
      <c r="M69" s="9" t="s">
        <v>22</v>
      </c>
      <c r="N69" s="9"/>
      <c r="O69" s="6">
        <v>61522.0</v>
      </c>
      <c r="P69" s="6"/>
      <c r="Q69" s="6"/>
      <c r="R69" s="6"/>
      <c r="S69" s="1">
        <v>5.0</v>
      </c>
      <c r="T69" s="1" t="s">
        <v>23</v>
      </c>
      <c r="U69" s="1">
        <v>26.0</v>
      </c>
      <c r="V69" s="6">
        <v>66457.0</v>
      </c>
      <c r="W69" s="6">
        <v>160206.0</v>
      </c>
      <c r="X69" s="6">
        <v>12.0</v>
      </c>
      <c r="Y69" s="6"/>
      <c r="Z69" s="1">
        <v>1.0</v>
      </c>
      <c r="AA69" s="1" t="s">
        <v>23</v>
      </c>
      <c r="AB69" s="1">
        <v>32.0</v>
      </c>
      <c r="AC69" s="6">
        <v>63299.0</v>
      </c>
      <c r="AD69" s="6">
        <v>172732.0</v>
      </c>
      <c r="AE69" s="6">
        <v>18.0</v>
      </c>
      <c r="AG69" s="3">
        <f t="shared" si="7"/>
        <v>2</v>
      </c>
    </row>
    <row r="70">
      <c r="A70" s="1" t="s">
        <v>31</v>
      </c>
      <c r="B70" s="2">
        <v>1.1967589E7</v>
      </c>
      <c r="C70" s="1">
        <v>11.0</v>
      </c>
      <c r="E70" s="1">
        <v>3.0</v>
      </c>
      <c r="F70" s="1" t="s">
        <v>23</v>
      </c>
      <c r="G70" s="1">
        <v>26.0</v>
      </c>
      <c r="H70" s="6">
        <v>35969.0</v>
      </c>
      <c r="I70" s="6">
        <v>322787.0</v>
      </c>
      <c r="J70" s="6">
        <v>11.0</v>
      </c>
      <c r="K70" s="6"/>
      <c r="L70" s="7">
        <v>2.0</v>
      </c>
      <c r="M70" s="8" t="s">
        <v>23</v>
      </c>
      <c r="N70" s="8">
        <v>32.0</v>
      </c>
      <c r="O70" s="6">
        <v>56471.0</v>
      </c>
      <c r="P70" s="6">
        <v>335537.0</v>
      </c>
      <c r="Q70" s="6">
        <v>17.0</v>
      </c>
      <c r="R70" s="6"/>
      <c r="S70" s="1">
        <v>4.0</v>
      </c>
      <c r="T70" s="1" t="s">
        <v>23</v>
      </c>
      <c r="U70" s="1">
        <v>40.0</v>
      </c>
      <c r="V70" s="6">
        <v>60125.0</v>
      </c>
      <c r="W70" s="6">
        <v>137368.0</v>
      </c>
      <c r="X70" s="6">
        <v>25.0</v>
      </c>
      <c r="Y70" s="6"/>
      <c r="Z70" s="1">
        <v>1.0</v>
      </c>
      <c r="AA70" s="1" t="s">
        <v>23</v>
      </c>
      <c r="AB70" s="1">
        <v>28.0</v>
      </c>
      <c r="AC70" s="6">
        <v>40876.0</v>
      </c>
      <c r="AD70" s="6">
        <v>103698.0</v>
      </c>
      <c r="AE70" s="6">
        <v>13.0</v>
      </c>
      <c r="AG70" s="3">
        <f t="shared" si="7"/>
        <v>4</v>
      </c>
    </row>
    <row r="71">
      <c r="A71" s="1" t="s">
        <v>32</v>
      </c>
      <c r="B71" s="2">
        <v>7174068.0</v>
      </c>
      <c r="C71" s="1">
        <v>8.0</v>
      </c>
      <c r="E71" s="1">
        <v>2.0</v>
      </c>
      <c r="F71" s="1" t="s">
        <v>22</v>
      </c>
      <c r="G71" s="1"/>
      <c r="H71" s="6">
        <v>34550.0</v>
      </c>
      <c r="I71" s="6"/>
      <c r="J71" s="6"/>
      <c r="K71" s="6"/>
      <c r="L71" s="7">
        <v>2.0</v>
      </c>
      <c r="M71" s="9" t="s">
        <v>22</v>
      </c>
      <c r="N71" s="9"/>
      <c r="O71" s="6">
        <v>33639.0</v>
      </c>
      <c r="P71" s="6"/>
      <c r="Q71" s="6"/>
      <c r="R71" s="6"/>
      <c r="S71" s="1">
        <v>2.0</v>
      </c>
      <c r="T71" s="1" t="s">
        <v>22</v>
      </c>
      <c r="U71" s="1"/>
      <c r="V71" s="6">
        <v>34326.0</v>
      </c>
      <c r="W71" s="6"/>
      <c r="X71" s="6"/>
      <c r="Y71" s="6"/>
      <c r="Z71" s="1">
        <v>2.0</v>
      </c>
      <c r="AA71" s="1" t="s">
        <v>22</v>
      </c>
      <c r="AB71" s="1"/>
      <c r="AC71" s="6">
        <v>36185.0</v>
      </c>
      <c r="AD71" s="6"/>
      <c r="AE71" s="6"/>
      <c r="AG71" s="3">
        <f t="shared" si="7"/>
        <v>0</v>
      </c>
    </row>
    <row r="72">
      <c r="A72" s="1" t="s">
        <v>33</v>
      </c>
      <c r="B72" s="2">
        <v>9156486.0</v>
      </c>
      <c r="C72" s="1">
        <v>10.0</v>
      </c>
      <c r="E72" s="1">
        <v>2.0</v>
      </c>
      <c r="F72" s="1" t="s">
        <v>22</v>
      </c>
      <c r="G72" s="1"/>
      <c r="H72" s="6">
        <v>45779.0</v>
      </c>
      <c r="I72" s="6"/>
      <c r="J72" s="6"/>
      <c r="K72" s="6"/>
      <c r="L72" s="7">
        <v>2.0</v>
      </c>
      <c r="M72" s="9" t="s">
        <v>22</v>
      </c>
      <c r="N72" s="9"/>
      <c r="O72" s="6">
        <v>45275.0</v>
      </c>
      <c r="P72" s="6"/>
      <c r="Q72" s="6"/>
      <c r="R72" s="6"/>
      <c r="S72" s="1">
        <v>2.0</v>
      </c>
      <c r="T72" s="1" t="s">
        <v>22</v>
      </c>
      <c r="U72" s="1"/>
      <c r="V72" s="6">
        <v>46811.0</v>
      </c>
      <c r="W72" s="6"/>
      <c r="X72" s="6"/>
      <c r="Y72" s="6"/>
      <c r="Z72" s="1">
        <v>2.0</v>
      </c>
      <c r="AA72" s="1" t="s">
        <v>22</v>
      </c>
      <c r="AB72" s="1"/>
      <c r="AC72" s="6">
        <v>33820.0</v>
      </c>
      <c r="AD72" s="6"/>
      <c r="AE72" s="6"/>
      <c r="AG72" s="3">
        <f t="shared" si="7"/>
        <v>0</v>
      </c>
    </row>
    <row r="73">
      <c r="A73" s="1" t="s">
        <v>34</v>
      </c>
      <c r="B73" s="2">
        <v>1.1491416E7</v>
      </c>
      <c r="C73" s="1">
        <v>13.0</v>
      </c>
      <c r="E73" s="1">
        <v>1.0</v>
      </c>
      <c r="F73" s="1" t="s">
        <v>23</v>
      </c>
      <c r="G73" s="1">
        <v>23.0</v>
      </c>
      <c r="H73" s="6">
        <v>3722.0</v>
      </c>
      <c r="I73" s="6">
        <v>163729.0</v>
      </c>
      <c r="J73" s="6">
        <v>2.0</v>
      </c>
      <c r="K73" s="6"/>
      <c r="L73" s="9"/>
      <c r="M73" s="8" t="s">
        <v>77</v>
      </c>
      <c r="N73" s="8"/>
      <c r="S73" s="1">
        <v>1.0</v>
      </c>
      <c r="T73" s="1" t="s">
        <v>23</v>
      </c>
      <c r="U73" s="1">
        <v>43.0</v>
      </c>
      <c r="V73" s="6">
        <v>55654.0</v>
      </c>
      <c r="W73" s="6">
        <v>275224.0</v>
      </c>
      <c r="X73" s="6">
        <v>14.0</v>
      </c>
      <c r="Y73" s="6"/>
      <c r="Z73" s="1">
        <v>3.0</v>
      </c>
      <c r="AA73" s="1" t="s">
        <v>23</v>
      </c>
      <c r="AB73" s="1">
        <v>34.0</v>
      </c>
      <c r="AC73" s="6">
        <v>55139.0</v>
      </c>
      <c r="AD73" s="6">
        <v>328765.0</v>
      </c>
      <c r="AE73" s="6">
        <v>13.0</v>
      </c>
      <c r="AG73" s="3">
        <f t="shared" si="7"/>
        <v>3</v>
      </c>
    </row>
    <row r="74">
      <c r="A74" s="1" t="s">
        <v>35</v>
      </c>
      <c r="B74" s="2">
        <v>1.2220705E7</v>
      </c>
      <c r="C74" s="1">
        <v>13.0</v>
      </c>
      <c r="E74" s="1">
        <v>2.0</v>
      </c>
      <c r="F74" s="1" t="s">
        <v>22</v>
      </c>
      <c r="G74" s="1"/>
      <c r="H74" s="6">
        <v>32655.0</v>
      </c>
      <c r="I74" s="6"/>
      <c r="J74" s="6"/>
      <c r="K74" s="6"/>
      <c r="L74" s="7">
        <v>2.0</v>
      </c>
      <c r="M74" s="9" t="s">
        <v>22</v>
      </c>
      <c r="N74" s="9"/>
      <c r="O74" s="6">
        <v>54741.0</v>
      </c>
      <c r="P74" s="6"/>
      <c r="Q74" s="6"/>
      <c r="R74" s="6"/>
      <c r="S74" s="1">
        <v>2.0</v>
      </c>
      <c r="T74" s="1" t="s">
        <v>22</v>
      </c>
      <c r="U74" s="1"/>
      <c r="V74" s="6">
        <v>56461.0</v>
      </c>
      <c r="W74" s="6"/>
      <c r="X74" s="6"/>
      <c r="Y74" s="6"/>
      <c r="Z74" s="1">
        <v>2.0</v>
      </c>
      <c r="AA74" s="1" t="s">
        <v>22</v>
      </c>
      <c r="AB74" s="1"/>
      <c r="AC74" s="6">
        <v>55744.0</v>
      </c>
      <c r="AD74" s="6"/>
      <c r="AE74" s="6"/>
      <c r="AG74" s="3">
        <f t="shared" si="7"/>
        <v>0</v>
      </c>
    </row>
    <row r="75">
      <c r="A75" s="1" t="s">
        <v>36</v>
      </c>
      <c r="B75" s="2">
        <v>1.2477237E7</v>
      </c>
      <c r="C75" s="1">
        <v>13.0</v>
      </c>
      <c r="E75" s="1">
        <v>2.0</v>
      </c>
      <c r="F75" s="1" t="s">
        <v>22</v>
      </c>
      <c r="G75" s="1"/>
      <c r="H75" s="6">
        <v>35378.0</v>
      </c>
      <c r="I75" s="6"/>
      <c r="J75" s="6"/>
      <c r="K75" s="6"/>
      <c r="L75" s="7">
        <v>2.0</v>
      </c>
      <c r="M75" s="9" t="s">
        <v>22</v>
      </c>
      <c r="N75" s="9"/>
      <c r="O75" s="6">
        <v>61729.0</v>
      </c>
      <c r="P75" s="6"/>
      <c r="Q75" s="6"/>
      <c r="R75" s="6"/>
      <c r="S75" s="1">
        <v>2.0</v>
      </c>
      <c r="T75" s="1" t="s">
        <v>22</v>
      </c>
      <c r="U75" s="1"/>
      <c r="V75" s="6">
        <v>59468.0</v>
      </c>
      <c r="W75" s="6"/>
      <c r="X75" s="6"/>
      <c r="Y75" s="6"/>
      <c r="Z75" s="1">
        <v>2.0</v>
      </c>
      <c r="AA75" s="1" t="s">
        <v>22</v>
      </c>
      <c r="AB75" s="1"/>
      <c r="AC75" s="6">
        <v>53703.0</v>
      </c>
      <c r="AD75" s="6"/>
      <c r="AE75" s="6"/>
      <c r="AG75" s="3">
        <f t="shared" si="7"/>
        <v>0</v>
      </c>
    </row>
    <row r="76">
      <c r="A76" s="1" t="s">
        <v>37</v>
      </c>
      <c r="B76" s="2">
        <v>1.0933684E7</v>
      </c>
      <c r="C76" s="1">
        <v>12.0</v>
      </c>
      <c r="E76" s="1">
        <v>2.0</v>
      </c>
      <c r="F76" s="1" t="s">
        <v>22</v>
      </c>
      <c r="G76" s="1"/>
      <c r="H76" s="6">
        <v>36184.0</v>
      </c>
      <c r="I76" s="6"/>
      <c r="J76" s="6"/>
      <c r="K76" s="6"/>
      <c r="L76" s="7">
        <v>2.0</v>
      </c>
      <c r="M76" s="9" t="s">
        <v>22</v>
      </c>
      <c r="N76" s="9"/>
      <c r="O76" s="6">
        <v>51698.0</v>
      </c>
      <c r="P76" s="6"/>
      <c r="Q76" s="6"/>
      <c r="R76" s="6"/>
      <c r="S76" s="1">
        <v>2.0</v>
      </c>
      <c r="T76" s="1" t="s">
        <v>22</v>
      </c>
      <c r="U76" s="1"/>
      <c r="V76" s="6">
        <v>50505.0</v>
      </c>
      <c r="W76" s="6"/>
      <c r="X76" s="6"/>
      <c r="Y76" s="6"/>
      <c r="Z76" s="1">
        <v>2.0</v>
      </c>
      <c r="AA76" s="1" t="s">
        <v>22</v>
      </c>
      <c r="AB76" s="1"/>
      <c r="AC76" s="6">
        <v>44625.0</v>
      </c>
      <c r="AD76" s="6"/>
      <c r="AE76" s="6"/>
      <c r="AG76" s="3">
        <f t="shared" si="7"/>
        <v>0</v>
      </c>
    </row>
    <row r="77">
      <c r="A77" s="1" t="s">
        <v>38</v>
      </c>
      <c r="B77" s="2">
        <v>1.223321E7</v>
      </c>
      <c r="C77" s="1">
        <v>15.0</v>
      </c>
      <c r="E77" s="1">
        <v>2.0</v>
      </c>
      <c r="F77" s="1" t="s">
        <v>22</v>
      </c>
      <c r="G77" s="1"/>
      <c r="H77" s="6">
        <v>34308.0</v>
      </c>
      <c r="I77" s="6"/>
      <c r="J77" s="6"/>
      <c r="K77" s="6"/>
      <c r="L77" s="7">
        <v>2.0</v>
      </c>
      <c r="M77" s="9" t="s">
        <v>22</v>
      </c>
      <c r="N77" s="9"/>
      <c r="O77" s="6">
        <v>59276.0</v>
      </c>
      <c r="P77" s="6"/>
      <c r="Q77" s="6"/>
      <c r="R77" s="6"/>
      <c r="S77" s="1">
        <v>2.0</v>
      </c>
      <c r="T77" s="1" t="s">
        <v>22</v>
      </c>
      <c r="U77" s="1"/>
      <c r="V77" s="6">
        <v>42100.0</v>
      </c>
      <c r="W77" s="6"/>
      <c r="X77" s="6"/>
      <c r="Y77" s="6"/>
      <c r="Z77" s="1">
        <v>2.0</v>
      </c>
      <c r="AA77" s="1" t="s">
        <v>22</v>
      </c>
      <c r="AB77" s="1"/>
      <c r="AC77" s="6">
        <v>59521.0</v>
      </c>
      <c r="AD77" s="6"/>
      <c r="AE77" s="6"/>
      <c r="AG77" s="3">
        <f t="shared" si="7"/>
        <v>0</v>
      </c>
    </row>
    <row r="78">
      <c r="A78" s="1" t="s">
        <v>39</v>
      </c>
      <c r="B78" s="2">
        <v>1.2713157E7</v>
      </c>
      <c r="C78" s="1">
        <v>15.0</v>
      </c>
      <c r="E78" s="1">
        <v>2.0</v>
      </c>
      <c r="F78" s="1" t="s">
        <v>22</v>
      </c>
      <c r="G78" s="1"/>
      <c r="H78" s="6">
        <v>4509.0</v>
      </c>
      <c r="I78" s="6"/>
      <c r="J78" s="6"/>
      <c r="K78" s="6"/>
      <c r="L78" s="7">
        <v>2.0</v>
      </c>
      <c r="M78" s="9" t="s">
        <v>22</v>
      </c>
      <c r="N78" s="9"/>
      <c r="O78" s="6">
        <v>56577.0</v>
      </c>
      <c r="P78" s="6"/>
      <c r="Q78" s="6"/>
      <c r="R78" s="6"/>
      <c r="S78" s="1">
        <v>2.0</v>
      </c>
      <c r="T78" s="1" t="s">
        <v>22</v>
      </c>
      <c r="U78" s="1"/>
      <c r="V78" s="6">
        <v>56337.0</v>
      </c>
      <c r="W78" s="6"/>
      <c r="X78" s="6"/>
      <c r="Y78" s="6"/>
      <c r="Z78" s="1">
        <v>2.0</v>
      </c>
      <c r="AA78" s="1" t="s">
        <v>22</v>
      </c>
      <c r="AB78" s="1"/>
      <c r="AC78" s="6">
        <v>71908.0</v>
      </c>
      <c r="AD78" s="6"/>
      <c r="AE78" s="6"/>
      <c r="AG78" s="3">
        <f t="shared" si="7"/>
        <v>0</v>
      </c>
    </row>
    <row r="79">
      <c r="A79" s="1" t="s">
        <v>40</v>
      </c>
      <c r="B79" s="2">
        <v>1.6980972E7</v>
      </c>
      <c r="C79" s="1">
        <v>17.0</v>
      </c>
      <c r="E79" s="1">
        <v>2.0</v>
      </c>
      <c r="F79" s="1" t="s">
        <v>22</v>
      </c>
      <c r="G79" s="1"/>
      <c r="H79" s="6">
        <v>33989.0</v>
      </c>
      <c r="I79" s="6"/>
      <c r="J79" s="6"/>
      <c r="K79" s="6"/>
      <c r="L79" s="7">
        <v>2.0</v>
      </c>
      <c r="M79" s="9" t="s">
        <v>22</v>
      </c>
      <c r="N79" s="9"/>
      <c r="O79" s="6">
        <v>56577.0</v>
      </c>
      <c r="P79" s="6"/>
      <c r="Q79" s="6"/>
      <c r="R79" s="6"/>
      <c r="S79" s="1">
        <v>2.0</v>
      </c>
      <c r="T79" s="1" t="s">
        <v>22</v>
      </c>
      <c r="U79" s="1"/>
      <c r="V79" s="6">
        <v>82162.0</v>
      </c>
      <c r="W79" s="6"/>
      <c r="X79" s="6"/>
      <c r="Y79" s="6"/>
      <c r="Z79" s="1">
        <v>2.0</v>
      </c>
      <c r="AA79" s="1" t="s">
        <v>22</v>
      </c>
      <c r="AB79" s="1"/>
      <c r="AC79" s="6">
        <v>75452.0</v>
      </c>
      <c r="AD79" s="6"/>
      <c r="AE79" s="6"/>
      <c r="AG79" s="3">
        <f t="shared" si="7"/>
        <v>0</v>
      </c>
    </row>
    <row r="80">
      <c r="A80" s="1" t="s">
        <v>41</v>
      </c>
      <c r="B80" s="2">
        <v>8631886.0</v>
      </c>
      <c r="C80" s="1">
        <v>9.0</v>
      </c>
      <c r="E80" s="1">
        <v>2.0</v>
      </c>
      <c r="F80" s="1" t="s">
        <v>22</v>
      </c>
      <c r="G80" s="1"/>
      <c r="H80" s="6">
        <v>42615.0</v>
      </c>
      <c r="I80" s="6"/>
      <c r="J80" s="6"/>
      <c r="K80" s="6"/>
      <c r="L80" s="7">
        <v>2.0</v>
      </c>
      <c r="M80" s="9" t="s">
        <v>22</v>
      </c>
      <c r="N80" s="9"/>
      <c r="O80" s="6">
        <v>40829.0</v>
      </c>
      <c r="P80" s="6"/>
      <c r="Q80" s="6"/>
      <c r="R80" s="6"/>
      <c r="S80" s="1">
        <v>2.0</v>
      </c>
      <c r="T80" s="1" t="s">
        <v>22</v>
      </c>
      <c r="U80" s="1"/>
      <c r="V80" s="6">
        <v>40796.0</v>
      </c>
      <c r="W80" s="6"/>
      <c r="X80" s="6"/>
      <c r="Y80" s="6"/>
      <c r="Z80" s="1">
        <v>2.0</v>
      </c>
      <c r="AA80" s="1" t="s">
        <v>22</v>
      </c>
      <c r="AB80" s="1"/>
      <c r="AC80" s="6">
        <v>40379.0</v>
      </c>
      <c r="AD80" s="6"/>
      <c r="AE80" s="6"/>
      <c r="AG80" s="3">
        <f t="shared" si="7"/>
        <v>0</v>
      </c>
    </row>
    <row r="81">
      <c r="A81" s="1" t="s">
        <v>42</v>
      </c>
      <c r="B81" s="2">
        <v>1.4692819E7</v>
      </c>
      <c r="C81" s="1">
        <v>17.0</v>
      </c>
      <c r="E81" s="1">
        <v>2.0</v>
      </c>
      <c r="F81" s="1" t="s">
        <v>22</v>
      </c>
      <c r="G81" s="1"/>
      <c r="H81" s="6">
        <v>36075.0</v>
      </c>
      <c r="I81" s="6"/>
      <c r="J81" s="6"/>
      <c r="K81" s="6"/>
      <c r="L81" s="7">
        <v>2.0</v>
      </c>
      <c r="M81" s="9" t="s">
        <v>22</v>
      </c>
      <c r="N81" s="9"/>
      <c r="O81" s="6">
        <v>54994.0</v>
      </c>
      <c r="P81" s="6"/>
      <c r="Q81" s="6"/>
      <c r="R81" s="6"/>
      <c r="S81" s="1">
        <v>2.0</v>
      </c>
      <c r="T81" s="1" t="s">
        <v>22</v>
      </c>
      <c r="U81" s="1"/>
      <c r="V81" s="6">
        <v>76645.0</v>
      </c>
      <c r="W81" s="6"/>
      <c r="X81" s="6"/>
      <c r="Y81" s="6"/>
      <c r="Z81" s="1">
        <v>2.0</v>
      </c>
      <c r="AA81" s="1" t="s">
        <v>22</v>
      </c>
      <c r="AB81" s="1"/>
      <c r="AC81" s="6">
        <v>66626.0</v>
      </c>
      <c r="AD81" s="6"/>
      <c r="AE81" s="6"/>
      <c r="AG81" s="3">
        <f t="shared" si="7"/>
        <v>0</v>
      </c>
    </row>
    <row r="82">
      <c r="A82" s="1" t="s">
        <v>44</v>
      </c>
      <c r="B82" s="2">
        <v>1.451614E7</v>
      </c>
      <c r="C82" s="1">
        <v>16.0</v>
      </c>
      <c r="E82" s="1">
        <v>1.0</v>
      </c>
      <c r="F82" s="1" t="s">
        <v>21</v>
      </c>
      <c r="G82" s="1"/>
      <c r="H82" s="6">
        <v>33487.0</v>
      </c>
      <c r="I82" s="6"/>
      <c r="J82" s="6"/>
      <c r="K82" s="6"/>
      <c r="L82" s="7">
        <v>106.0</v>
      </c>
      <c r="M82" s="9" t="s">
        <v>22</v>
      </c>
      <c r="N82" s="9"/>
      <c r="O82" s="6">
        <v>49687.0</v>
      </c>
      <c r="P82" s="6"/>
      <c r="Q82" s="6"/>
      <c r="R82" s="6"/>
      <c r="S82" s="1">
        <v>21.0</v>
      </c>
      <c r="T82" s="1" t="s">
        <v>23</v>
      </c>
      <c r="U82" s="1" t="s">
        <v>60</v>
      </c>
      <c r="V82" s="6">
        <v>72221.0</v>
      </c>
      <c r="W82" s="6">
        <v>157581.0</v>
      </c>
      <c r="X82" s="6">
        <v>18.0</v>
      </c>
      <c r="Y82" s="6"/>
      <c r="Z82" s="1">
        <v>12.0</v>
      </c>
      <c r="AA82" s="1" t="s">
        <v>21</v>
      </c>
      <c r="AB82" s="1"/>
      <c r="AC82" s="6">
        <v>66557.0</v>
      </c>
      <c r="AD82" s="6"/>
      <c r="AE82" s="6"/>
      <c r="AG82" s="3">
        <f t="shared" si="7"/>
        <v>1</v>
      </c>
    </row>
    <row r="83">
      <c r="A83" s="1" t="s">
        <v>45</v>
      </c>
      <c r="B83" s="2">
        <v>1.1561854E7</v>
      </c>
      <c r="C83" s="1">
        <v>12.0</v>
      </c>
      <c r="E83" s="1">
        <v>3.0</v>
      </c>
      <c r="F83" s="1" t="s">
        <v>21</v>
      </c>
      <c r="G83" s="1"/>
      <c r="H83" s="6">
        <v>34338.0</v>
      </c>
      <c r="I83" s="6"/>
      <c r="J83" s="6"/>
      <c r="K83" s="6"/>
      <c r="L83" s="7">
        <v>137.0</v>
      </c>
      <c r="M83" s="9" t="s">
        <v>21</v>
      </c>
      <c r="N83" s="9"/>
      <c r="O83" s="6">
        <v>52932.0</v>
      </c>
      <c r="P83" s="6"/>
      <c r="Q83" s="6"/>
      <c r="R83" s="6"/>
      <c r="S83" s="1">
        <v>60.0</v>
      </c>
      <c r="T83" s="1" t="s">
        <v>23</v>
      </c>
      <c r="U83" s="1">
        <v>27.0</v>
      </c>
      <c r="V83" s="6">
        <v>55310.0</v>
      </c>
      <c r="W83" s="6">
        <v>387275.0</v>
      </c>
      <c r="X83" s="6">
        <v>15.0</v>
      </c>
      <c r="Y83" s="6"/>
      <c r="Z83" s="1">
        <v>9.0</v>
      </c>
      <c r="AA83" s="1" t="s">
        <v>23</v>
      </c>
      <c r="AB83" s="1">
        <v>26.0</v>
      </c>
      <c r="AC83" s="6">
        <v>54929.0</v>
      </c>
      <c r="AD83" s="6">
        <v>317065.0</v>
      </c>
      <c r="AE83" s="6">
        <v>14.0</v>
      </c>
      <c r="AF83" s="3"/>
      <c r="AG83" s="3">
        <f t="shared" si="7"/>
        <v>2</v>
      </c>
    </row>
    <row r="84">
      <c r="A84" s="1" t="s">
        <v>46</v>
      </c>
      <c r="B84" s="2">
        <v>1.1508269E7</v>
      </c>
      <c r="C84" s="1">
        <v>11.0</v>
      </c>
      <c r="E84" s="1">
        <v>1.0</v>
      </c>
      <c r="F84" s="1" t="s">
        <v>21</v>
      </c>
      <c r="G84" s="1"/>
      <c r="H84" s="6">
        <v>4068.0</v>
      </c>
      <c r="I84" s="6"/>
      <c r="J84" s="6"/>
      <c r="K84" s="6"/>
      <c r="L84" s="7">
        <v>102.0</v>
      </c>
      <c r="M84" s="9" t="s">
        <v>22</v>
      </c>
      <c r="N84" s="9"/>
      <c r="O84" s="6">
        <v>53934.0</v>
      </c>
      <c r="P84" s="6"/>
      <c r="Q84" s="6"/>
      <c r="R84" s="6"/>
      <c r="S84" s="1">
        <v>44.0</v>
      </c>
      <c r="T84" s="1" t="s">
        <v>23</v>
      </c>
      <c r="U84" s="1">
        <v>27.0</v>
      </c>
      <c r="V84" s="6">
        <v>51581.0</v>
      </c>
      <c r="W84" s="6">
        <v>145219.0</v>
      </c>
      <c r="X84" s="6">
        <v>15.0</v>
      </c>
      <c r="Y84" s="6"/>
      <c r="Z84" s="1">
        <v>14.0</v>
      </c>
      <c r="AA84" s="1" t="s">
        <v>23</v>
      </c>
      <c r="AB84" s="1">
        <v>25.0</v>
      </c>
      <c r="AC84" s="6">
        <v>45656.0</v>
      </c>
      <c r="AD84" s="6">
        <v>300693.0</v>
      </c>
      <c r="AE84" s="6">
        <v>13.0</v>
      </c>
      <c r="AF84" s="3"/>
      <c r="AG84" s="3">
        <f t="shared" si="7"/>
        <v>2</v>
      </c>
    </row>
    <row r="85">
      <c r="A85" s="1" t="s">
        <v>47</v>
      </c>
      <c r="B85" s="2">
        <v>1.0324341E7</v>
      </c>
      <c r="C85" s="1">
        <v>12.0</v>
      </c>
      <c r="E85" s="1">
        <v>5.0</v>
      </c>
      <c r="F85" s="1" t="s">
        <v>22</v>
      </c>
      <c r="G85" s="1"/>
      <c r="H85" s="6">
        <v>33682.0</v>
      </c>
      <c r="I85" s="6"/>
      <c r="J85" s="6"/>
      <c r="K85" s="6"/>
      <c r="L85" s="7">
        <v>4.0</v>
      </c>
      <c r="M85" s="9" t="s">
        <v>22</v>
      </c>
      <c r="N85" s="9"/>
      <c r="O85" s="6">
        <v>49324.0</v>
      </c>
      <c r="P85" s="6"/>
      <c r="Q85" s="6"/>
      <c r="R85" s="6"/>
      <c r="S85" s="1">
        <v>29.0</v>
      </c>
      <c r="T85" s="1" t="s">
        <v>23</v>
      </c>
      <c r="U85" s="1">
        <v>32.0</v>
      </c>
      <c r="V85" s="6">
        <v>49866.0</v>
      </c>
      <c r="W85" s="6">
        <v>244471.0</v>
      </c>
      <c r="X85" s="6">
        <v>19.0</v>
      </c>
      <c r="Y85" s="6"/>
      <c r="Z85" s="1">
        <v>3.0</v>
      </c>
      <c r="AA85" s="1" t="s">
        <v>23</v>
      </c>
      <c r="AB85" s="1">
        <v>24.0</v>
      </c>
      <c r="AC85" s="6">
        <v>51113.0</v>
      </c>
      <c r="AD85" s="6">
        <v>156345.0</v>
      </c>
      <c r="AE85" s="6">
        <v>11.0</v>
      </c>
      <c r="AG85" s="3">
        <f t="shared" si="7"/>
        <v>2</v>
      </c>
    </row>
    <row r="86">
      <c r="A86" s="1" t="s">
        <v>48</v>
      </c>
      <c r="B86" s="2">
        <v>1.0854274E7</v>
      </c>
      <c r="C86" s="1">
        <v>11.0</v>
      </c>
      <c r="E86" s="1">
        <v>5.0</v>
      </c>
      <c r="F86" s="1" t="s">
        <v>22</v>
      </c>
      <c r="G86" s="1"/>
      <c r="H86" s="6">
        <v>38243.0</v>
      </c>
      <c r="I86" s="6"/>
      <c r="J86" s="6"/>
      <c r="K86" s="6"/>
      <c r="L86" s="7">
        <v>35.0</v>
      </c>
      <c r="M86" s="9" t="s">
        <v>21</v>
      </c>
      <c r="N86" s="9"/>
      <c r="O86" s="6">
        <v>52542.0</v>
      </c>
      <c r="P86" s="6"/>
      <c r="Q86" s="6"/>
      <c r="R86" s="6"/>
      <c r="S86" s="1">
        <v>1.0</v>
      </c>
      <c r="T86" s="1" t="s">
        <v>23</v>
      </c>
      <c r="U86" s="1">
        <v>22.0</v>
      </c>
      <c r="V86" s="6">
        <v>57398.0</v>
      </c>
      <c r="W86" s="6">
        <v>410724.0</v>
      </c>
      <c r="X86" s="6">
        <v>12.0</v>
      </c>
      <c r="Y86" s="6"/>
      <c r="Z86" s="1">
        <v>28.0</v>
      </c>
      <c r="AA86" s="1" t="s">
        <v>23</v>
      </c>
      <c r="AB86" s="1">
        <v>25.0</v>
      </c>
      <c r="AC86" s="6">
        <v>53381.0</v>
      </c>
      <c r="AD86" s="6">
        <v>207303.0</v>
      </c>
      <c r="AE86" s="6">
        <v>15.0</v>
      </c>
      <c r="AF86" s="3"/>
      <c r="AG86" s="3">
        <f t="shared" si="7"/>
        <v>2</v>
      </c>
    </row>
    <row r="87">
      <c r="A87" s="1" t="s">
        <v>49</v>
      </c>
      <c r="B87" s="2">
        <v>1.6072776E7</v>
      </c>
      <c r="C87" s="1">
        <v>17.0</v>
      </c>
      <c r="E87" s="1">
        <v>5.0</v>
      </c>
      <c r="F87" s="1" t="s">
        <v>22</v>
      </c>
      <c r="G87" s="1"/>
      <c r="H87" s="6">
        <v>33063.0</v>
      </c>
      <c r="I87" s="6"/>
      <c r="J87" s="6"/>
      <c r="K87" s="6"/>
      <c r="L87" s="7">
        <v>10.0</v>
      </c>
      <c r="M87" s="8" t="s">
        <v>23</v>
      </c>
      <c r="N87" s="8">
        <v>29.0</v>
      </c>
      <c r="O87" s="6">
        <v>44011.0</v>
      </c>
      <c r="P87" s="6">
        <v>114942.0</v>
      </c>
      <c r="Q87" s="6">
        <v>12.0</v>
      </c>
      <c r="R87" s="6"/>
      <c r="S87" s="1">
        <v>106.0</v>
      </c>
      <c r="T87" s="1" t="s">
        <v>23</v>
      </c>
      <c r="U87" s="1">
        <v>37.0</v>
      </c>
      <c r="V87" s="6">
        <v>79639.0</v>
      </c>
      <c r="W87" s="6">
        <v>207474.0</v>
      </c>
      <c r="X87" s="6">
        <v>20.0</v>
      </c>
      <c r="Y87" s="6"/>
      <c r="Z87" s="1">
        <v>8.0</v>
      </c>
      <c r="AA87" s="1" t="s">
        <v>23</v>
      </c>
      <c r="AB87" s="1">
        <v>32.0</v>
      </c>
      <c r="AC87" s="6">
        <v>76926.0</v>
      </c>
      <c r="AD87" s="6">
        <v>239590.0</v>
      </c>
      <c r="AE87" s="6">
        <v>15.0</v>
      </c>
      <c r="AG87" s="3">
        <f t="shared" si="7"/>
        <v>3</v>
      </c>
    </row>
    <row r="88">
      <c r="A88" s="1" t="s">
        <v>50</v>
      </c>
      <c r="B88" s="2">
        <v>1.1065285E7</v>
      </c>
      <c r="C88" s="1">
        <v>12.0</v>
      </c>
      <c r="E88" s="1">
        <v>116.0</v>
      </c>
      <c r="F88" s="1" t="s">
        <v>21</v>
      </c>
      <c r="G88" s="1"/>
      <c r="H88" s="6">
        <v>27359.0</v>
      </c>
      <c r="I88" s="6"/>
      <c r="J88" s="6"/>
      <c r="K88" s="6"/>
      <c r="L88" s="7">
        <v>229.0</v>
      </c>
      <c r="M88" s="9" t="s">
        <v>21</v>
      </c>
      <c r="N88" s="9"/>
      <c r="O88" s="6">
        <v>50532.0</v>
      </c>
      <c r="P88" s="6"/>
      <c r="Q88" s="6"/>
      <c r="R88" s="6"/>
      <c r="S88" s="1">
        <v>1.0</v>
      </c>
      <c r="T88" s="1" t="s">
        <v>21</v>
      </c>
      <c r="U88" s="1"/>
      <c r="V88" s="6">
        <v>51501.0</v>
      </c>
      <c r="Y88" s="6"/>
      <c r="Z88" s="1">
        <v>1.0</v>
      </c>
      <c r="AA88" s="1" t="s">
        <v>21</v>
      </c>
      <c r="AB88" s="1"/>
      <c r="AC88" s="6">
        <v>53500.0</v>
      </c>
      <c r="AD88" s="6"/>
      <c r="AE88" s="6"/>
      <c r="AG88" s="3">
        <f t="shared" si="7"/>
        <v>0</v>
      </c>
    </row>
    <row r="89">
      <c r="A89" s="1" t="s">
        <v>51</v>
      </c>
      <c r="B89" s="2">
        <v>1.5779054E7</v>
      </c>
      <c r="C89" s="1">
        <v>19.0</v>
      </c>
      <c r="E89" s="1">
        <v>105.0</v>
      </c>
      <c r="F89" s="1" t="s">
        <v>22</v>
      </c>
      <c r="G89" s="1"/>
      <c r="H89" s="6">
        <v>3485.0</v>
      </c>
      <c r="I89" s="6"/>
      <c r="J89" s="6"/>
      <c r="K89" s="6"/>
      <c r="L89" s="7">
        <v>452.0</v>
      </c>
      <c r="M89" s="9" t="s">
        <v>22</v>
      </c>
      <c r="N89" s="9"/>
      <c r="O89" s="6">
        <v>54682.0</v>
      </c>
      <c r="P89" s="6"/>
      <c r="Q89" s="6"/>
      <c r="R89" s="6"/>
      <c r="S89" s="1">
        <v>148.0</v>
      </c>
      <c r="T89" s="1" t="s">
        <v>23</v>
      </c>
      <c r="U89" s="1">
        <v>40.0</v>
      </c>
      <c r="V89" s="6">
        <v>63033.0</v>
      </c>
      <c r="W89" s="6">
        <v>165212.0</v>
      </c>
      <c r="X89" s="6">
        <v>14.0</v>
      </c>
      <c r="Y89" s="6"/>
      <c r="Z89" s="1">
        <v>21.0</v>
      </c>
      <c r="AA89" s="1" t="s">
        <v>23</v>
      </c>
      <c r="AB89" s="1">
        <v>45.0</v>
      </c>
      <c r="AC89" s="6">
        <v>72725.0</v>
      </c>
      <c r="AD89" s="6">
        <v>281587.0</v>
      </c>
      <c r="AE89" s="6">
        <v>19.0</v>
      </c>
      <c r="AF89" s="3"/>
      <c r="AG89" s="3">
        <f t="shared" si="7"/>
        <v>2</v>
      </c>
    </row>
    <row r="90">
      <c r="A90" s="1" t="s">
        <v>52</v>
      </c>
      <c r="B90" s="2">
        <v>1.0752157E7</v>
      </c>
      <c r="C90" s="1">
        <v>12.0</v>
      </c>
      <c r="E90" s="1">
        <v>1.0</v>
      </c>
      <c r="F90" s="1" t="s">
        <v>21</v>
      </c>
      <c r="G90" s="1"/>
      <c r="H90" s="6">
        <v>25456.0</v>
      </c>
      <c r="I90" s="6"/>
      <c r="J90" s="6"/>
      <c r="K90" s="6"/>
      <c r="L90" s="7">
        <v>161.0</v>
      </c>
      <c r="M90" s="9" t="s">
        <v>21</v>
      </c>
      <c r="N90" s="9"/>
      <c r="O90" s="6">
        <v>48222.0</v>
      </c>
      <c r="P90" s="6"/>
      <c r="Q90" s="6"/>
      <c r="R90" s="6"/>
      <c r="S90" s="1">
        <v>35.0</v>
      </c>
      <c r="T90" s="1" t="s">
        <v>23</v>
      </c>
      <c r="U90" s="1">
        <v>31.0</v>
      </c>
      <c r="V90" s="6">
        <v>54457.0</v>
      </c>
      <c r="W90" s="6">
        <v>173353.0</v>
      </c>
      <c r="X90" s="6">
        <v>13.0</v>
      </c>
      <c r="Y90" s="6"/>
      <c r="Z90" s="1">
        <v>1.0</v>
      </c>
      <c r="AA90" s="1" t="s">
        <v>21</v>
      </c>
      <c r="AB90" s="1"/>
      <c r="AC90" s="6">
        <v>38082.0</v>
      </c>
      <c r="AD90" s="6"/>
      <c r="AE90" s="6"/>
      <c r="AG90" s="3">
        <f t="shared" si="7"/>
        <v>1</v>
      </c>
    </row>
    <row r="91">
      <c r="A91" s="1" t="s">
        <v>53</v>
      </c>
      <c r="B91" s="2">
        <v>6360316.0</v>
      </c>
      <c r="C91" s="1">
        <v>7.0</v>
      </c>
      <c r="E91" s="1">
        <v>33.0</v>
      </c>
      <c r="F91" s="1" t="s">
        <v>21</v>
      </c>
      <c r="G91" s="1"/>
      <c r="H91" s="6">
        <v>29112.0</v>
      </c>
      <c r="I91" s="6"/>
      <c r="J91" s="6"/>
      <c r="K91" s="6"/>
      <c r="L91" s="7">
        <v>40.0</v>
      </c>
      <c r="M91" s="9" t="s">
        <v>21</v>
      </c>
      <c r="N91" s="9"/>
      <c r="O91" s="6">
        <v>29606.0</v>
      </c>
      <c r="P91" s="6"/>
      <c r="Q91" s="6"/>
      <c r="R91" s="6"/>
      <c r="S91" s="1">
        <v>1.0</v>
      </c>
      <c r="T91" s="1" t="s">
        <v>23</v>
      </c>
      <c r="U91" s="1">
        <v>19.0</v>
      </c>
      <c r="V91" s="6">
        <v>29933.0</v>
      </c>
      <c r="W91" s="6">
        <v>171882.0</v>
      </c>
      <c r="X91" s="6">
        <v>7.0</v>
      </c>
      <c r="Y91" s="6"/>
      <c r="Z91" s="1">
        <v>2.0</v>
      </c>
      <c r="AA91" s="1" t="s">
        <v>23</v>
      </c>
      <c r="AB91" s="1">
        <v>21.0</v>
      </c>
      <c r="AC91" s="6">
        <v>29362.0</v>
      </c>
      <c r="AD91" s="6">
        <v>200589.0</v>
      </c>
      <c r="AE91" s="6">
        <v>9.0</v>
      </c>
      <c r="AG91" s="3">
        <f t="shared" si="7"/>
        <v>2</v>
      </c>
    </row>
    <row r="92">
      <c r="A92" s="1" t="s">
        <v>54</v>
      </c>
      <c r="B92" s="2">
        <v>7559816.0</v>
      </c>
      <c r="C92" s="1">
        <v>11.0</v>
      </c>
      <c r="E92" s="1">
        <v>31.0</v>
      </c>
      <c r="F92" s="1" t="s">
        <v>23</v>
      </c>
      <c r="G92" s="1">
        <v>23.0</v>
      </c>
      <c r="H92" s="6">
        <v>38859.0</v>
      </c>
      <c r="I92" s="6">
        <v>187780.0</v>
      </c>
      <c r="J92" s="6">
        <v>8.0</v>
      </c>
      <c r="K92" s="6"/>
      <c r="L92" s="7">
        <v>102.0</v>
      </c>
      <c r="M92" s="9" t="s">
        <v>22</v>
      </c>
      <c r="N92" s="9"/>
      <c r="O92" s="6">
        <v>38369.0</v>
      </c>
      <c r="P92" s="6"/>
      <c r="Q92" s="6"/>
      <c r="R92" s="6"/>
      <c r="S92" s="1">
        <v>35.0</v>
      </c>
      <c r="T92" s="1" t="s">
        <v>23</v>
      </c>
      <c r="U92" s="1">
        <v>23.0</v>
      </c>
      <c r="V92" s="6">
        <v>40516.0</v>
      </c>
      <c r="W92" s="6">
        <v>217918.0</v>
      </c>
      <c r="X92" s="6">
        <v>8.0</v>
      </c>
      <c r="Y92" s="6"/>
      <c r="Z92" s="1">
        <v>31.0</v>
      </c>
      <c r="AA92" s="1" t="s">
        <v>23</v>
      </c>
      <c r="AB92" s="1">
        <v>23.0</v>
      </c>
      <c r="AC92" s="6">
        <v>38859.0</v>
      </c>
      <c r="AD92" s="6">
        <v>187780.0</v>
      </c>
      <c r="AE92" s="6">
        <v>8.0</v>
      </c>
      <c r="AF92" s="3"/>
      <c r="AG92" s="3">
        <f t="shared" si="7"/>
        <v>3</v>
      </c>
    </row>
    <row r="93">
      <c r="A93" s="1" t="s">
        <v>56</v>
      </c>
      <c r="B93" s="2">
        <v>6998779.0</v>
      </c>
      <c r="C93" s="1">
        <v>7.0</v>
      </c>
      <c r="E93" s="1">
        <v>9.0</v>
      </c>
      <c r="F93" s="1" t="s">
        <v>22</v>
      </c>
      <c r="G93" s="1"/>
      <c r="H93" s="6">
        <v>34617.0</v>
      </c>
      <c r="I93" s="6"/>
      <c r="J93" s="6"/>
      <c r="K93" s="6"/>
      <c r="L93" s="7">
        <v>103.0</v>
      </c>
      <c r="M93" s="9" t="s">
        <v>22</v>
      </c>
      <c r="N93" s="9"/>
      <c r="O93" s="6">
        <v>32393.0</v>
      </c>
      <c r="P93" s="6"/>
      <c r="Q93" s="6"/>
      <c r="R93" s="6"/>
      <c r="S93" s="1">
        <v>1.0</v>
      </c>
      <c r="T93" s="1" t="s">
        <v>23</v>
      </c>
      <c r="U93" s="1">
        <v>16.0</v>
      </c>
      <c r="V93" s="6">
        <v>32492.0</v>
      </c>
      <c r="W93" s="6">
        <v>125980.0</v>
      </c>
      <c r="X93" s="6">
        <v>8.0</v>
      </c>
      <c r="Y93" s="6"/>
      <c r="Z93" s="1">
        <v>80.0</v>
      </c>
      <c r="AA93" s="1" t="s">
        <v>23</v>
      </c>
      <c r="AB93" s="1">
        <v>16.0</v>
      </c>
      <c r="AC93" s="6">
        <v>32907.0</v>
      </c>
      <c r="AD93" s="6">
        <v>203962.0</v>
      </c>
      <c r="AE93" s="6">
        <v>8.0</v>
      </c>
      <c r="AF93" s="3"/>
      <c r="AG93" s="3">
        <f t="shared" si="7"/>
        <v>2</v>
      </c>
    </row>
    <row r="94">
      <c r="A94" s="1" t="s">
        <v>57</v>
      </c>
      <c r="B94" s="2">
        <v>2.6168502E7</v>
      </c>
      <c r="C94" s="1">
        <v>22.0</v>
      </c>
      <c r="E94" s="1">
        <v>3.0</v>
      </c>
      <c r="F94" s="1" t="s">
        <v>23</v>
      </c>
      <c r="G94" s="1">
        <v>26.0</v>
      </c>
      <c r="H94" s="6">
        <v>12237.0</v>
      </c>
      <c r="I94" s="6">
        <v>92743.0</v>
      </c>
      <c r="J94" s="6">
        <v>8.0</v>
      </c>
      <c r="K94" s="6"/>
      <c r="L94" s="7">
        <v>22.0</v>
      </c>
      <c r="M94" s="8" t="s">
        <v>23</v>
      </c>
      <c r="N94" s="8">
        <v>31.0</v>
      </c>
      <c r="O94" s="6">
        <v>28594.0</v>
      </c>
      <c r="P94" s="6">
        <v>329231.0</v>
      </c>
      <c r="Q94" s="6">
        <v>9.0</v>
      </c>
      <c r="R94" s="6"/>
      <c r="S94" s="1">
        <v>3.0</v>
      </c>
      <c r="T94" s="1" t="s">
        <v>23</v>
      </c>
      <c r="U94" s="1"/>
      <c r="V94" s="6">
        <v>41.0</v>
      </c>
      <c r="Y94" s="6"/>
      <c r="Z94" s="1">
        <v>1.0</v>
      </c>
      <c r="AA94" s="1" t="s">
        <v>23</v>
      </c>
      <c r="AB94" s="1">
        <v>45.0</v>
      </c>
      <c r="AC94" s="6">
        <v>78574.0</v>
      </c>
      <c r="AD94" s="6">
        <v>300385.0</v>
      </c>
      <c r="AE94" s="6">
        <v>23.0</v>
      </c>
      <c r="AG94" s="3">
        <f t="shared" si="7"/>
        <v>4</v>
      </c>
    </row>
    <row r="95">
      <c r="A95" s="1" t="s">
        <v>58</v>
      </c>
      <c r="B95" s="2">
        <v>1.0993483E7</v>
      </c>
      <c r="C95" s="1">
        <v>13.0</v>
      </c>
      <c r="E95" s="1">
        <v>8.0</v>
      </c>
      <c r="F95" s="1" t="s">
        <v>21</v>
      </c>
      <c r="G95" s="1"/>
      <c r="H95" s="6">
        <v>29017.0</v>
      </c>
      <c r="I95" s="6"/>
      <c r="J95" s="6"/>
      <c r="K95" s="6"/>
      <c r="L95" s="7">
        <v>109.0</v>
      </c>
      <c r="M95" s="9" t="s">
        <v>22</v>
      </c>
      <c r="N95" s="9"/>
      <c r="O95" s="6">
        <v>56683.0</v>
      </c>
      <c r="P95" s="6"/>
      <c r="Q95" s="6"/>
      <c r="R95" s="6"/>
      <c r="S95" s="1">
        <v>43.0</v>
      </c>
      <c r="T95" s="1" t="s">
        <v>23</v>
      </c>
      <c r="U95" s="1">
        <v>29.0</v>
      </c>
      <c r="V95" s="6">
        <v>54709.0</v>
      </c>
      <c r="W95" s="6">
        <v>156165.0</v>
      </c>
      <c r="X95" s="6">
        <v>11.0</v>
      </c>
      <c r="Y95" s="6"/>
      <c r="Z95" s="1">
        <v>1.0</v>
      </c>
      <c r="AA95" s="1" t="s">
        <v>23</v>
      </c>
      <c r="AB95" s="1">
        <v>27.0</v>
      </c>
      <c r="AC95" s="6">
        <v>27517.0</v>
      </c>
      <c r="AD95" s="6">
        <v>273932.0</v>
      </c>
      <c r="AE95" s="6">
        <v>9.0</v>
      </c>
      <c r="AG95" s="3">
        <f t="shared" si="7"/>
        <v>2</v>
      </c>
    </row>
    <row r="96">
      <c r="A96" s="1" t="s">
        <v>59</v>
      </c>
      <c r="B96" s="2">
        <v>1.3300428E7</v>
      </c>
      <c r="C96" s="1">
        <v>16.0</v>
      </c>
      <c r="E96" s="1">
        <v>4.0</v>
      </c>
      <c r="F96" s="1" t="s">
        <v>22</v>
      </c>
      <c r="G96" s="1"/>
      <c r="H96" s="6">
        <v>35564.0</v>
      </c>
      <c r="I96" s="6"/>
      <c r="J96" s="6"/>
      <c r="K96" s="6"/>
      <c r="L96" s="7">
        <v>113.0</v>
      </c>
      <c r="M96" s="9" t="s">
        <v>22</v>
      </c>
      <c r="N96" s="9"/>
      <c r="O96" s="6">
        <v>50020.0</v>
      </c>
      <c r="P96" s="6"/>
      <c r="Q96" s="6"/>
      <c r="R96" s="6"/>
      <c r="S96" s="1">
        <v>41.0</v>
      </c>
      <c r="T96" s="1" t="s">
        <v>23</v>
      </c>
      <c r="U96" s="1">
        <v>34.0</v>
      </c>
      <c r="V96" s="6">
        <v>46639.0</v>
      </c>
      <c r="W96" s="6">
        <v>183045.0</v>
      </c>
      <c r="X96" s="6">
        <v>16.0</v>
      </c>
      <c r="Y96" s="6"/>
      <c r="Z96" s="1">
        <v>18.0</v>
      </c>
      <c r="AA96" s="1" t="s">
        <v>23</v>
      </c>
      <c r="AB96" s="1">
        <v>31.0</v>
      </c>
      <c r="AC96" s="6">
        <v>60117.0</v>
      </c>
      <c r="AD96" s="6">
        <v>309361.0</v>
      </c>
      <c r="AE96" s="6">
        <v>13.0</v>
      </c>
      <c r="AF96" s="3"/>
      <c r="AG96" s="3">
        <f t="shared" si="7"/>
        <v>2</v>
      </c>
    </row>
    <row r="97">
      <c r="A97" s="1" t="s">
        <v>61</v>
      </c>
      <c r="B97" s="2">
        <v>1.0740844E7</v>
      </c>
      <c r="C97" s="1">
        <v>11.0</v>
      </c>
      <c r="E97" s="1">
        <v>18.0</v>
      </c>
      <c r="F97" s="1" t="s">
        <v>23</v>
      </c>
      <c r="G97" s="1">
        <v>24.0</v>
      </c>
      <c r="H97" s="6">
        <v>40801.0</v>
      </c>
      <c r="I97" s="6">
        <v>282978.0</v>
      </c>
      <c r="J97" s="6">
        <v>4.0</v>
      </c>
      <c r="K97" s="6"/>
      <c r="L97" s="7">
        <v>4.0</v>
      </c>
      <c r="M97" s="9" t="s">
        <v>22</v>
      </c>
      <c r="N97" s="9"/>
      <c r="O97" s="6">
        <v>52040.0</v>
      </c>
      <c r="P97" s="6"/>
      <c r="Q97" s="6"/>
      <c r="R97" s="6"/>
      <c r="S97" s="1">
        <v>3.0</v>
      </c>
      <c r="T97" s="1" t="s">
        <v>23</v>
      </c>
      <c r="U97" s="1">
        <v>21.0</v>
      </c>
      <c r="V97" s="6">
        <v>64836.0</v>
      </c>
      <c r="W97" s="6">
        <v>82186.0</v>
      </c>
      <c r="X97" s="6">
        <v>9.0</v>
      </c>
      <c r="Y97" s="6"/>
      <c r="Z97" s="1">
        <v>1.0</v>
      </c>
      <c r="AA97" s="1" t="s">
        <v>23</v>
      </c>
      <c r="AB97" s="1">
        <v>28.0</v>
      </c>
      <c r="AC97" s="6">
        <v>45793.0</v>
      </c>
      <c r="AD97" s="6">
        <v>258286.0</v>
      </c>
      <c r="AE97" s="6">
        <v>16.0</v>
      </c>
      <c r="AG97" s="3">
        <f t="shared" si="7"/>
        <v>3</v>
      </c>
    </row>
    <row r="98">
      <c r="A98" s="1" t="s">
        <v>62</v>
      </c>
      <c r="B98" s="2">
        <v>1.0740844E7</v>
      </c>
      <c r="C98" s="1">
        <v>9.0</v>
      </c>
      <c r="E98" s="1">
        <v>1.0</v>
      </c>
      <c r="F98" s="1" t="s">
        <v>21</v>
      </c>
      <c r="G98" s="1"/>
      <c r="H98" s="6">
        <v>43062.0</v>
      </c>
      <c r="I98" s="6"/>
      <c r="J98" s="6"/>
      <c r="K98" s="6"/>
      <c r="L98" s="7">
        <v>115.0</v>
      </c>
      <c r="M98" s="9" t="s">
        <v>22</v>
      </c>
      <c r="N98" s="9"/>
      <c r="O98" s="6">
        <v>42274.0</v>
      </c>
      <c r="P98" s="6"/>
      <c r="Q98" s="6"/>
      <c r="R98" s="6"/>
      <c r="S98" s="1">
        <v>7.0</v>
      </c>
      <c r="T98" s="1" t="s">
        <v>23</v>
      </c>
      <c r="U98" s="1">
        <v>28.0</v>
      </c>
      <c r="V98" s="6">
        <v>41525.0</v>
      </c>
      <c r="W98" s="6">
        <v>145417.0</v>
      </c>
      <c r="X98" s="6">
        <v>10.0</v>
      </c>
      <c r="Y98" s="6"/>
      <c r="Z98" s="1">
        <v>2.0</v>
      </c>
      <c r="AA98" s="1" t="s">
        <v>21</v>
      </c>
      <c r="AB98" s="1"/>
      <c r="AC98" s="6">
        <v>39523.0</v>
      </c>
      <c r="AG98" s="3">
        <f t="shared" si="7"/>
        <v>1</v>
      </c>
    </row>
    <row r="99">
      <c r="A99" s="1" t="s">
        <v>63</v>
      </c>
      <c r="B99" s="2">
        <v>1.4337628E7</v>
      </c>
      <c r="C99" s="1">
        <v>13.0</v>
      </c>
      <c r="E99" s="1">
        <v>10.0</v>
      </c>
      <c r="F99" s="1" t="s">
        <v>23</v>
      </c>
      <c r="G99" s="1">
        <v>22.0</v>
      </c>
      <c r="H99" s="6">
        <v>4541.0</v>
      </c>
      <c r="I99" s="6">
        <v>69457.0</v>
      </c>
      <c r="J99" s="6">
        <v>12.0</v>
      </c>
      <c r="K99" s="6"/>
      <c r="L99" s="7">
        <v>26.0</v>
      </c>
      <c r="M99" s="8" t="s">
        <v>23</v>
      </c>
      <c r="N99" s="8">
        <v>35.0</v>
      </c>
      <c r="O99" s="6">
        <v>50431.0</v>
      </c>
      <c r="P99" s="6">
        <v>325954.0</v>
      </c>
      <c r="Q99" s="6">
        <v>16.0</v>
      </c>
      <c r="R99" s="6"/>
      <c r="S99" s="1">
        <v>1.0</v>
      </c>
      <c r="T99" s="1" t="s">
        <v>23</v>
      </c>
      <c r="U99" s="1">
        <v>41.0</v>
      </c>
      <c r="V99" s="6">
        <v>68053.0</v>
      </c>
      <c r="W99" s="6">
        <v>360285.0</v>
      </c>
      <c r="X99" s="6">
        <v>22.0</v>
      </c>
      <c r="Y99" s="6"/>
      <c r="Z99" s="1">
        <v>1.0</v>
      </c>
      <c r="AA99" s="1" t="s">
        <v>23</v>
      </c>
      <c r="AB99" s="1">
        <v>33.0</v>
      </c>
      <c r="AC99" s="6">
        <v>70521.0</v>
      </c>
      <c r="AD99" s="6">
        <v>140500.0</v>
      </c>
      <c r="AE99" s="6">
        <v>14.0</v>
      </c>
      <c r="AG99" s="3">
        <f t="shared" si="7"/>
        <v>4</v>
      </c>
    </row>
    <row r="100">
      <c r="A100" s="1" t="s">
        <v>64</v>
      </c>
      <c r="B100" s="2">
        <v>1.7146726E7</v>
      </c>
      <c r="C100" s="1">
        <v>17.0</v>
      </c>
      <c r="E100" s="1">
        <v>1.0</v>
      </c>
      <c r="F100" s="1" t="s">
        <v>23</v>
      </c>
      <c r="G100" s="1">
        <v>19.0</v>
      </c>
      <c r="H100" s="6">
        <v>6111.0</v>
      </c>
      <c r="I100" s="6">
        <v>106091.0</v>
      </c>
      <c r="J100" s="6">
        <v>3.0</v>
      </c>
      <c r="K100" s="6"/>
      <c r="L100" s="7">
        <v>114.0</v>
      </c>
      <c r="M100" s="9" t="s">
        <v>22</v>
      </c>
      <c r="N100" s="9"/>
      <c r="O100" s="6">
        <v>88819.0</v>
      </c>
      <c r="P100" s="6"/>
      <c r="Q100" s="6"/>
      <c r="R100" s="6"/>
      <c r="S100" s="1">
        <v>9.0</v>
      </c>
      <c r="T100" s="1" t="s">
        <v>23</v>
      </c>
      <c r="U100" s="1">
        <v>45.0</v>
      </c>
      <c r="V100" s="6">
        <v>35323.0</v>
      </c>
      <c r="W100" s="6">
        <v>306659.0</v>
      </c>
      <c r="X100" s="6">
        <v>13.0</v>
      </c>
      <c r="Y100" s="6"/>
      <c r="Z100" s="1">
        <v>3.0</v>
      </c>
      <c r="AA100" s="1" t="s">
        <v>23</v>
      </c>
      <c r="AB100" s="1">
        <v>35.0</v>
      </c>
      <c r="AC100" s="6">
        <v>106291.0</v>
      </c>
      <c r="AD100" s="6">
        <v>293271.0</v>
      </c>
      <c r="AE100" s="6">
        <v>18.0</v>
      </c>
      <c r="AG100" s="3">
        <f t="shared" si="7"/>
        <v>3</v>
      </c>
    </row>
    <row r="101">
      <c r="A101" s="1" t="s">
        <v>65</v>
      </c>
      <c r="B101" s="2">
        <v>7766696.0</v>
      </c>
      <c r="C101" s="1">
        <v>8.0</v>
      </c>
      <c r="E101" s="1">
        <v>1.0</v>
      </c>
      <c r="F101" s="1" t="s">
        <v>21</v>
      </c>
      <c r="G101" s="1"/>
      <c r="H101" s="6">
        <v>32250.0</v>
      </c>
      <c r="I101" s="6"/>
      <c r="J101" s="6"/>
      <c r="K101" s="6"/>
      <c r="L101" s="7">
        <v>14.0</v>
      </c>
      <c r="M101" s="8" t="s">
        <v>23</v>
      </c>
      <c r="N101" s="8">
        <v>28.0</v>
      </c>
      <c r="O101" s="6">
        <v>39958.0</v>
      </c>
      <c r="P101" s="6">
        <v>194611.0</v>
      </c>
      <c r="Q101" s="6">
        <v>11.0</v>
      </c>
      <c r="R101" s="6"/>
      <c r="S101" s="1">
        <v>12.0</v>
      </c>
      <c r="T101" s="1" t="s">
        <v>21</v>
      </c>
      <c r="U101" s="1"/>
      <c r="V101" s="6">
        <v>39401.0</v>
      </c>
      <c r="Y101" s="6"/>
      <c r="Z101" s="1">
        <v>3.0</v>
      </c>
      <c r="AA101" s="1" t="s">
        <v>23</v>
      </c>
      <c r="AB101" s="1">
        <v>24.0</v>
      </c>
      <c r="AC101" s="6">
        <v>36278.0</v>
      </c>
      <c r="AD101" s="6">
        <v>208558.0</v>
      </c>
      <c r="AE101" s="6">
        <v>7.0</v>
      </c>
      <c r="AG101" s="3">
        <f t="shared" si="7"/>
        <v>2</v>
      </c>
    </row>
    <row r="102">
      <c r="A102" s="1" t="s">
        <v>66</v>
      </c>
      <c r="B102" s="2">
        <v>1.2851093E7</v>
      </c>
      <c r="C102" s="1">
        <v>13.0</v>
      </c>
      <c r="E102" s="1">
        <v>2.0</v>
      </c>
      <c r="F102" s="1" t="s">
        <v>21</v>
      </c>
      <c r="G102" s="1"/>
      <c r="H102" s="6">
        <v>47151.0</v>
      </c>
      <c r="I102" s="6"/>
      <c r="J102" s="6"/>
      <c r="K102" s="6"/>
      <c r="L102" s="7">
        <v>7.0</v>
      </c>
      <c r="M102" s="9" t="s">
        <v>22</v>
      </c>
      <c r="N102" s="9"/>
      <c r="O102" s="6">
        <v>61034.0</v>
      </c>
      <c r="P102" s="6"/>
      <c r="Q102" s="6"/>
      <c r="R102" s="6"/>
      <c r="S102" s="1">
        <v>1.0</v>
      </c>
      <c r="T102" s="1" t="s">
        <v>23</v>
      </c>
      <c r="U102" s="1">
        <v>40.0</v>
      </c>
      <c r="V102" s="6">
        <v>61215.0</v>
      </c>
      <c r="W102" s="6">
        <v>147106.0</v>
      </c>
      <c r="X102" s="6">
        <v>16.0</v>
      </c>
      <c r="Y102" s="6"/>
      <c r="Z102" s="1">
        <v>1.0</v>
      </c>
      <c r="AA102" s="1" t="s">
        <v>23</v>
      </c>
      <c r="AB102" s="1">
        <v>35.0</v>
      </c>
      <c r="AC102" s="6">
        <v>54875.0</v>
      </c>
      <c r="AD102" s="6">
        <v>215192.0</v>
      </c>
      <c r="AE102" s="6">
        <v>11.0</v>
      </c>
      <c r="AG102" s="3">
        <f t="shared" si="7"/>
        <v>2</v>
      </c>
    </row>
    <row r="103">
      <c r="A103" s="1" t="s">
        <v>67</v>
      </c>
      <c r="B103" s="2">
        <v>1.4926614E7</v>
      </c>
      <c r="C103" s="1">
        <v>16.0</v>
      </c>
      <c r="E103" s="1">
        <v>1.0</v>
      </c>
      <c r="F103" s="1" t="s">
        <v>21</v>
      </c>
      <c r="G103" s="1"/>
      <c r="H103" s="6">
        <v>14008.0</v>
      </c>
      <c r="I103" s="6"/>
      <c r="J103" s="6"/>
      <c r="K103" s="6"/>
      <c r="L103" s="7">
        <v>16.0</v>
      </c>
      <c r="M103" s="8" t="s">
        <v>23</v>
      </c>
      <c r="N103" s="8">
        <v>36.0</v>
      </c>
      <c r="O103" s="6">
        <v>41671.0</v>
      </c>
      <c r="P103" s="6">
        <v>321902.0</v>
      </c>
      <c r="Q103" s="6">
        <v>13.0</v>
      </c>
      <c r="R103" s="6"/>
      <c r="S103" s="1">
        <v>24.0</v>
      </c>
      <c r="T103" s="1" t="s">
        <v>23</v>
      </c>
      <c r="U103" s="1">
        <v>41.0</v>
      </c>
      <c r="V103" s="6">
        <v>59528.0</v>
      </c>
      <c r="W103" s="6">
        <v>396528.0</v>
      </c>
      <c r="X103" s="6">
        <v>18.0</v>
      </c>
      <c r="Y103" s="6"/>
      <c r="Z103" s="1">
        <v>1.0</v>
      </c>
      <c r="AA103" s="1" t="s">
        <v>23</v>
      </c>
      <c r="AB103" s="1">
        <v>38.0</v>
      </c>
      <c r="AC103" s="6">
        <v>52834.0</v>
      </c>
      <c r="AD103" s="6">
        <v>258335.0</v>
      </c>
      <c r="AE103" s="6">
        <v>15.0</v>
      </c>
      <c r="AG103" s="3">
        <f t="shared" si="7"/>
        <v>3</v>
      </c>
    </row>
    <row r="104">
      <c r="A104" s="1" t="s">
        <v>68</v>
      </c>
      <c r="B104" s="2">
        <v>1.342039E7</v>
      </c>
      <c r="C104" s="1">
        <v>14.0</v>
      </c>
      <c r="E104" s="1">
        <v>1.0</v>
      </c>
      <c r="F104" s="1" t="s">
        <v>23</v>
      </c>
      <c r="G104" s="1">
        <v>18.0</v>
      </c>
      <c r="H104" s="6">
        <v>3975.0</v>
      </c>
      <c r="I104" s="6">
        <v>66709.0</v>
      </c>
      <c r="J104" s="6">
        <v>3.0</v>
      </c>
      <c r="K104" s="6"/>
      <c r="L104" s="7">
        <v>110.0</v>
      </c>
      <c r="M104" s="9" t="s">
        <v>22</v>
      </c>
      <c r="N104" s="9"/>
      <c r="O104" s="6">
        <v>55167.0</v>
      </c>
      <c r="P104" s="6"/>
      <c r="Q104" s="6"/>
      <c r="R104" s="6"/>
      <c r="S104" s="1">
        <v>1.0</v>
      </c>
      <c r="T104" s="1" t="s">
        <v>23</v>
      </c>
      <c r="U104" s="1">
        <v>29.0</v>
      </c>
      <c r="V104" s="6">
        <v>62242.0</v>
      </c>
      <c r="W104" s="6">
        <v>177866.0</v>
      </c>
      <c r="X104" s="6">
        <v>14.0</v>
      </c>
      <c r="Y104" s="6"/>
      <c r="Z104" s="1">
        <v>13.0</v>
      </c>
      <c r="AA104" s="1" t="s">
        <v>23</v>
      </c>
      <c r="AB104" s="1">
        <v>40.0</v>
      </c>
      <c r="AC104" s="6">
        <v>62197.0</v>
      </c>
      <c r="AD104" s="6">
        <v>191151.0</v>
      </c>
      <c r="AE104" s="6">
        <v>11.0</v>
      </c>
      <c r="AF104" s="3"/>
      <c r="AG104" s="3">
        <f t="shared" si="7"/>
        <v>3</v>
      </c>
    </row>
    <row r="105">
      <c r="A105" s="1" t="s">
        <v>69</v>
      </c>
      <c r="B105" s="2">
        <v>1.6977168E7</v>
      </c>
      <c r="C105" s="1">
        <v>18.0</v>
      </c>
      <c r="E105" s="1">
        <v>4.0</v>
      </c>
      <c r="F105" s="1" t="s">
        <v>22</v>
      </c>
      <c r="G105" s="1"/>
      <c r="H105" s="6">
        <v>4886.0</v>
      </c>
      <c r="I105" s="6"/>
      <c r="J105" s="6"/>
      <c r="K105" s="6"/>
      <c r="L105" s="7">
        <v>105.0</v>
      </c>
      <c r="M105" s="9" t="s">
        <v>22</v>
      </c>
      <c r="N105" s="9"/>
      <c r="O105" s="6">
        <v>71492.0</v>
      </c>
      <c r="P105" s="6"/>
      <c r="Q105" s="6"/>
      <c r="R105" s="6"/>
      <c r="S105" s="1">
        <v>1.0</v>
      </c>
      <c r="T105" s="1" t="s">
        <v>23</v>
      </c>
      <c r="U105" s="1">
        <v>46.0</v>
      </c>
      <c r="V105" s="6">
        <v>82640.0</v>
      </c>
      <c r="W105" s="6">
        <v>168476.0</v>
      </c>
      <c r="X105" s="6">
        <v>24.0</v>
      </c>
      <c r="Y105" s="6"/>
      <c r="Z105" s="1">
        <v>1.0</v>
      </c>
      <c r="AA105" s="1" t="s">
        <v>21</v>
      </c>
      <c r="AB105" s="1"/>
      <c r="AC105" s="6">
        <v>69969.0</v>
      </c>
      <c r="AG105" s="3">
        <f t="shared" si="7"/>
        <v>1</v>
      </c>
    </row>
    <row r="106">
      <c r="A106" s="1" t="s">
        <v>70</v>
      </c>
      <c r="B106" s="2">
        <v>1.1664645E7</v>
      </c>
      <c r="C106" s="1">
        <v>11.0</v>
      </c>
      <c r="E106" s="1">
        <v>5.0</v>
      </c>
      <c r="F106" s="1" t="s">
        <v>22</v>
      </c>
      <c r="G106" s="1"/>
      <c r="H106" s="6">
        <v>41574.0</v>
      </c>
      <c r="I106" s="6"/>
      <c r="J106" s="6"/>
      <c r="K106" s="6"/>
      <c r="L106" s="7">
        <v>59.0</v>
      </c>
      <c r="M106" s="8" t="s">
        <v>23</v>
      </c>
      <c r="N106" s="8">
        <v>35.0</v>
      </c>
      <c r="O106" s="6">
        <v>53095.0</v>
      </c>
      <c r="P106" s="6">
        <v>284570.0</v>
      </c>
      <c r="Q106" s="6">
        <v>15.0</v>
      </c>
      <c r="R106" s="6"/>
      <c r="S106" s="1">
        <v>23.0</v>
      </c>
      <c r="T106" s="1" t="s">
        <v>23</v>
      </c>
      <c r="U106" s="1">
        <v>35.0</v>
      </c>
      <c r="V106" s="6">
        <v>54388.0</v>
      </c>
      <c r="W106" s="6">
        <v>140027.0</v>
      </c>
      <c r="X106" s="6">
        <v>15.0</v>
      </c>
      <c r="Y106" s="6"/>
      <c r="Z106" s="1">
        <v>1.0</v>
      </c>
      <c r="AA106" s="1" t="s">
        <v>21</v>
      </c>
      <c r="AB106" s="1"/>
      <c r="AC106" s="6">
        <v>50244.0</v>
      </c>
      <c r="AG106" s="3">
        <f t="shared" si="7"/>
        <v>2</v>
      </c>
    </row>
    <row r="107">
      <c r="A107" s="1" t="s">
        <v>71</v>
      </c>
      <c r="B107" s="2">
        <v>1.0853597E7</v>
      </c>
      <c r="C107" s="1">
        <v>13.0</v>
      </c>
      <c r="E107" s="1">
        <v>4.0</v>
      </c>
      <c r="F107" s="1" t="s">
        <v>22</v>
      </c>
      <c r="G107" s="1"/>
      <c r="H107" s="6">
        <v>32510.0</v>
      </c>
      <c r="I107" s="6"/>
      <c r="J107" s="6"/>
      <c r="K107" s="6"/>
      <c r="L107" s="7">
        <v>102.0</v>
      </c>
      <c r="M107" s="9" t="s">
        <v>22</v>
      </c>
      <c r="N107" s="9"/>
      <c r="O107" s="6">
        <v>41948.0</v>
      </c>
      <c r="P107" s="6"/>
      <c r="Q107" s="6"/>
      <c r="R107" s="6"/>
      <c r="S107" s="1">
        <v>5.0</v>
      </c>
      <c r="T107" s="1" t="s">
        <v>23</v>
      </c>
      <c r="U107" s="1">
        <v>35.0</v>
      </c>
      <c r="V107" s="6">
        <v>38983.0</v>
      </c>
      <c r="W107" s="6">
        <v>145896.0</v>
      </c>
      <c r="X107" s="6">
        <v>13.0</v>
      </c>
      <c r="Y107" s="6"/>
      <c r="Z107" s="1">
        <v>10.0</v>
      </c>
      <c r="AA107" s="1" t="s">
        <v>23</v>
      </c>
      <c r="AB107" s="1">
        <v>33.0</v>
      </c>
      <c r="AC107" s="6">
        <v>36101.0</v>
      </c>
      <c r="AD107" s="6">
        <v>167095.0</v>
      </c>
      <c r="AE107" s="6">
        <v>11.0</v>
      </c>
      <c r="AF107" s="3"/>
      <c r="AG107" s="3">
        <f t="shared" si="7"/>
        <v>2</v>
      </c>
    </row>
    <row r="108">
      <c r="A108" s="1" t="s">
        <v>72</v>
      </c>
      <c r="B108" s="2">
        <v>1.4404976E7</v>
      </c>
      <c r="C108" s="1">
        <v>14.0</v>
      </c>
      <c r="E108" s="1">
        <v>4.0</v>
      </c>
      <c r="F108" s="1" t="s">
        <v>22</v>
      </c>
      <c r="G108" s="1"/>
      <c r="H108" s="6">
        <v>33516.0</v>
      </c>
      <c r="I108" s="6"/>
      <c r="J108" s="6"/>
      <c r="K108" s="6"/>
      <c r="L108" s="7">
        <v>207.0</v>
      </c>
      <c r="M108" s="9" t="s">
        <v>22</v>
      </c>
      <c r="N108" s="9"/>
      <c r="O108" s="6">
        <v>55787.0</v>
      </c>
      <c r="P108" s="6"/>
      <c r="Q108" s="6"/>
      <c r="R108" s="6"/>
      <c r="S108" s="1">
        <v>5.0</v>
      </c>
      <c r="T108" s="1" t="s">
        <v>23</v>
      </c>
      <c r="U108" s="1">
        <v>31.0</v>
      </c>
      <c r="V108" s="6">
        <v>67299.0</v>
      </c>
      <c r="W108" s="6">
        <v>198628.0</v>
      </c>
      <c r="X108" s="6">
        <v>16.0</v>
      </c>
      <c r="Y108" s="6"/>
      <c r="Z108" s="1">
        <v>11.0</v>
      </c>
      <c r="AA108" s="1" t="s">
        <v>23</v>
      </c>
      <c r="AB108" s="1">
        <v>38.0</v>
      </c>
      <c r="AC108" s="6">
        <v>66035.0</v>
      </c>
      <c r="AD108" s="6">
        <v>261090.0</v>
      </c>
      <c r="AE108" s="6">
        <v>23.0</v>
      </c>
      <c r="AF108" s="3"/>
      <c r="AG108" s="3">
        <f t="shared" si="7"/>
        <v>2</v>
      </c>
    </row>
    <row r="109">
      <c r="A109" s="1" t="s">
        <v>73</v>
      </c>
      <c r="B109" s="2">
        <v>1.1195043E7</v>
      </c>
      <c r="C109" s="1">
        <v>11.0</v>
      </c>
      <c r="E109" s="1">
        <v>6.0</v>
      </c>
      <c r="F109" s="1" t="s">
        <v>22</v>
      </c>
      <c r="G109" s="1"/>
      <c r="H109" s="6">
        <v>51100.0</v>
      </c>
      <c r="I109" s="6"/>
      <c r="J109" s="6"/>
      <c r="K109" s="6"/>
      <c r="L109" s="7">
        <v>10.0</v>
      </c>
      <c r="M109" s="8" t="s">
        <v>23</v>
      </c>
      <c r="N109" s="8">
        <v>26.0</v>
      </c>
      <c r="O109" s="6">
        <v>51545.0</v>
      </c>
      <c r="P109" s="6">
        <v>158593.0</v>
      </c>
      <c r="Q109" s="6">
        <v>11.0</v>
      </c>
      <c r="R109" s="6"/>
      <c r="S109" s="1">
        <v>1.0</v>
      </c>
      <c r="T109" s="1" t="s">
        <v>23</v>
      </c>
      <c r="U109" s="1">
        <v>27.0</v>
      </c>
      <c r="V109" s="6">
        <v>55077.0</v>
      </c>
      <c r="W109" s="6">
        <v>150403.0</v>
      </c>
      <c r="X109" s="6">
        <v>12.0</v>
      </c>
      <c r="Y109" s="6"/>
      <c r="Z109" s="1">
        <v>2.0</v>
      </c>
      <c r="AA109" s="1" t="s">
        <v>23</v>
      </c>
      <c r="AB109" s="1">
        <v>25.0</v>
      </c>
      <c r="AC109" s="6">
        <v>52915.0</v>
      </c>
      <c r="AD109" s="6">
        <v>339854.0</v>
      </c>
      <c r="AE109" s="6">
        <v>10.0</v>
      </c>
      <c r="AG109" s="3">
        <f t="shared" si="7"/>
        <v>3</v>
      </c>
    </row>
    <row r="110">
      <c r="A110" s="1" t="s">
        <v>74</v>
      </c>
      <c r="B110" s="2">
        <v>7284727.0</v>
      </c>
      <c r="C110" s="1">
        <v>8.0</v>
      </c>
      <c r="E110" s="1">
        <v>1.0</v>
      </c>
      <c r="F110" s="1" t="s">
        <v>21</v>
      </c>
      <c r="G110" s="1"/>
      <c r="H110" s="6">
        <v>33270.0</v>
      </c>
      <c r="I110" s="6"/>
      <c r="J110" s="6"/>
      <c r="K110" s="6"/>
      <c r="L110" s="7">
        <v>2.0</v>
      </c>
      <c r="M110" s="9" t="s">
        <v>21</v>
      </c>
      <c r="N110" s="9"/>
      <c r="O110" s="6">
        <v>32842.0</v>
      </c>
      <c r="P110" s="6"/>
      <c r="Q110" s="6"/>
      <c r="R110" s="6"/>
      <c r="S110" s="1">
        <v>4.0</v>
      </c>
      <c r="T110" s="1" t="s">
        <v>23</v>
      </c>
      <c r="U110" s="1">
        <v>24.0</v>
      </c>
      <c r="V110" s="6">
        <v>33723.0</v>
      </c>
      <c r="W110" s="6">
        <v>204332.0</v>
      </c>
      <c r="X110" s="6">
        <v>9.0</v>
      </c>
      <c r="Y110" s="6"/>
      <c r="Z110" s="1">
        <v>4.0</v>
      </c>
      <c r="AA110" s="1" t="s">
        <v>23</v>
      </c>
      <c r="AB110" s="1">
        <v>22.0</v>
      </c>
      <c r="AC110" s="6">
        <v>32602.0</v>
      </c>
      <c r="AD110" s="6">
        <v>309626.0</v>
      </c>
      <c r="AE110" s="6">
        <v>7.0</v>
      </c>
      <c r="AG110" s="3">
        <f t="shared" si="7"/>
        <v>2</v>
      </c>
    </row>
    <row r="111">
      <c r="A111" s="1" t="s">
        <v>75</v>
      </c>
      <c r="B111" s="2">
        <v>1.0471201E7</v>
      </c>
      <c r="C111" s="1">
        <v>11.0</v>
      </c>
      <c r="E111" s="1">
        <v>11.0</v>
      </c>
      <c r="F111" s="1" t="s">
        <v>22</v>
      </c>
      <c r="G111" s="1"/>
      <c r="H111" s="6">
        <v>34716.0</v>
      </c>
      <c r="I111" s="6"/>
      <c r="J111" s="6"/>
      <c r="K111" s="6"/>
      <c r="L111" s="7">
        <v>123.0</v>
      </c>
      <c r="M111" s="9" t="s">
        <v>22</v>
      </c>
      <c r="N111" s="9"/>
      <c r="O111" s="6">
        <v>51336.0</v>
      </c>
      <c r="P111" s="6"/>
      <c r="Q111" s="6"/>
      <c r="R111" s="6"/>
      <c r="S111" s="1">
        <v>14.0</v>
      </c>
      <c r="T111" s="1" t="s">
        <v>23</v>
      </c>
      <c r="U111" s="1">
        <v>28.0</v>
      </c>
      <c r="V111" s="6">
        <v>44285.0</v>
      </c>
      <c r="W111" s="6">
        <v>430619.0</v>
      </c>
      <c r="X111" s="6">
        <v>16.0</v>
      </c>
      <c r="Y111" s="6"/>
      <c r="Z111" s="1">
        <v>32.0</v>
      </c>
      <c r="AA111" s="1" t="s">
        <v>23</v>
      </c>
      <c r="AB111" s="1">
        <v>32.0</v>
      </c>
      <c r="AC111" s="6">
        <v>50416.0</v>
      </c>
      <c r="AD111" s="6">
        <v>294972.0</v>
      </c>
      <c r="AE111" s="6">
        <v>13.0</v>
      </c>
      <c r="AF111" s="3"/>
      <c r="AG111" s="3">
        <f t="shared" si="7"/>
        <v>2</v>
      </c>
    </row>
    <row r="113">
      <c r="A113" s="1" t="s">
        <v>78</v>
      </c>
      <c r="L113" s="1" t="s">
        <v>79</v>
      </c>
      <c r="S113" s="1" t="s">
        <v>80</v>
      </c>
    </row>
    <row r="114">
      <c r="A114" s="1" t="s">
        <v>20</v>
      </c>
      <c r="E114" s="6">
        <v>221.0</v>
      </c>
      <c r="F114" s="10" t="s">
        <v>22</v>
      </c>
      <c r="H114" s="11">
        <v>24887.0</v>
      </c>
    </row>
    <row r="115">
      <c r="A115" s="1" t="s">
        <v>24</v>
      </c>
      <c r="E115" s="6">
        <v>44.0</v>
      </c>
      <c r="F115" s="12" t="s">
        <v>23</v>
      </c>
      <c r="G115" s="1">
        <v>795.0</v>
      </c>
      <c r="H115" s="11">
        <v>32429.0</v>
      </c>
      <c r="I115" s="6">
        <v>240625.0</v>
      </c>
      <c r="J115" s="6">
        <v>10.0</v>
      </c>
    </row>
    <row r="116">
      <c r="A116" s="1" t="s">
        <v>25</v>
      </c>
      <c r="E116" s="6">
        <v>2.0</v>
      </c>
      <c r="F116" s="12" t="s">
        <v>23</v>
      </c>
      <c r="G116" s="1">
        <v>896.0</v>
      </c>
      <c r="H116" s="6">
        <v>26647.0</v>
      </c>
      <c r="I116" s="6">
        <v>134851.0</v>
      </c>
      <c r="J116" s="6">
        <v>8.0</v>
      </c>
    </row>
    <row r="117">
      <c r="A117" s="1" t="s">
        <v>26</v>
      </c>
      <c r="B117" s="1"/>
      <c r="E117" s="6">
        <v>1.0</v>
      </c>
      <c r="F117" s="12" t="s">
        <v>23</v>
      </c>
      <c r="G117" s="1">
        <v>871.0</v>
      </c>
      <c r="H117" s="6">
        <v>32410.0</v>
      </c>
      <c r="I117" s="6">
        <v>190670.0</v>
      </c>
      <c r="J117" s="6">
        <v>11.0</v>
      </c>
    </row>
    <row r="118">
      <c r="A118" s="1" t="s">
        <v>44</v>
      </c>
      <c r="B118" s="1"/>
      <c r="E118" s="6">
        <v>4.0</v>
      </c>
      <c r="F118" s="12" t="s">
        <v>23</v>
      </c>
      <c r="G118" s="1">
        <v>1068.0</v>
      </c>
      <c r="H118" s="11">
        <v>38622.0</v>
      </c>
      <c r="I118" s="6">
        <v>331823.0</v>
      </c>
      <c r="J118" s="6">
        <v>13.0</v>
      </c>
    </row>
    <row r="121">
      <c r="A121" s="1" t="s">
        <v>81</v>
      </c>
    </row>
    <row r="122">
      <c r="A122" s="1" t="s">
        <v>20</v>
      </c>
      <c r="B122" s="1"/>
      <c r="E122" s="6">
        <v>38.0</v>
      </c>
      <c r="F122" s="12" t="s">
        <v>23</v>
      </c>
      <c r="G122" s="1">
        <v>26.0</v>
      </c>
      <c r="H122" s="2">
        <v>28004.0</v>
      </c>
      <c r="I122" s="2">
        <v>323784.0</v>
      </c>
      <c r="J122" s="6">
        <v>13.0</v>
      </c>
    </row>
    <row r="123">
      <c r="A123" s="1" t="s">
        <v>24</v>
      </c>
      <c r="B123" s="1"/>
      <c r="E123" s="6">
        <v>46.0</v>
      </c>
      <c r="F123" s="10" t="s">
        <v>23</v>
      </c>
      <c r="G123" s="1">
        <v>25.0</v>
      </c>
      <c r="H123" s="2">
        <v>32324.0</v>
      </c>
      <c r="I123" s="2">
        <v>307152.0</v>
      </c>
      <c r="J123" s="6">
        <v>11.0</v>
      </c>
    </row>
    <row r="124">
      <c r="A124" s="1" t="s">
        <v>25</v>
      </c>
      <c r="B124" s="1"/>
      <c r="E124" s="6">
        <v>1.0</v>
      </c>
      <c r="F124" s="10" t="s">
        <v>23</v>
      </c>
      <c r="G124" s="1">
        <v>25.0</v>
      </c>
      <c r="H124" s="2">
        <v>24780.0</v>
      </c>
      <c r="I124" s="2">
        <v>197661.0</v>
      </c>
      <c r="J124" s="6">
        <v>8.0</v>
      </c>
    </row>
    <row r="125">
      <c r="A125" s="1" t="s">
        <v>26</v>
      </c>
      <c r="E125" s="6">
        <v>2.0</v>
      </c>
      <c r="F125" s="10" t="s">
        <v>23</v>
      </c>
      <c r="G125" s="1">
        <v>32.0</v>
      </c>
      <c r="H125" s="2">
        <v>32977.0</v>
      </c>
      <c r="I125" s="2">
        <v>163252.0</v>
      </c>
      <c r="J125" s="6">
        <v>10.0</v>
      </c>
    </row>
    <row r="126">
      <c r="A126" s="1" t="s">
        <v>45</v>
      </c>
      <c r="E126" s="6">
        <v>102.0</v>
      </c>
      <c r="F126" s="10" t="s">
        <v>22</v>
      </c>
      <c r="H126" s="2">
        <v>34410.0</v>
      </c>
    </row>
    <row r="129">
      <c r="A129" s="1"/>
    </row>
    <row r="132">
      <c r="B132" s="1"/>
    </row>
    <row r="149" ht="20.25" customHeight="1"/>
  </sheetData>
  <conditionalFormatting sqref="AE62">
    <cfRule type="expression" dxfId="0" priority="1">
      <formula>AND($T62="SUCCESS", $S62 &gt; AVERAGE($S$61:$S$111))</formula>
    </cfRule>
  </conditionalFormatting>
  <conditionalFormatting sqref="AE83:AE87">
    <cfRule type="expression" dxfId="0" priority="2">
      <formula>AND($T82="SUCCESS", $S82 &gt; AVERAGE($S$61:$S$111))</formula>
    </cfRule>
  </conditionalFormatting>
  <conditionalFormatting sqref="AE89">
    <cfRule type="expression" dxfId="0" priority="3">
      <formula>AND($T87="SUCCESS", $S87 &gt; AVERAGE($S$61:$S$111))</formula>
    </cfRule>
  </conditionalFormatting>
  <conditionalFormatting sqref="AE91:AE97">
    <cfRule type="expression" dxfId="0" priority="4">
      <formula>AND($T89="SUCCESS", $S89 &gt; AVERAGE($S$61:$S$111))</formula>
    </cfRule>
  </conditionalFormatting>
  <conditionalFormatting sqref="AE99:AE103">
    <cfRule type="expression" dxfId="0" priority="5">
      <formula>AND($T96="SUCCESS", $S96 &gt; AVERAGE($S$61:$S$111))</formula>
    </cfRule>
  </conditionalFormatting>
  <conditionalFormatting sqref="AE104">
    <cfRule type="expression" dxfId="0" priority="6">
      <formula>AND($T102="SUCCESS", $S102 &gt; AVERAGE($S$61:$S$111))</formula>
    </cfRule>
  </conditionalFormatting>
  <conditionalFormatting sqref="AE107:AE111">
    <cfRule type="expression" dxfId="0" priority="7">
      <formula>AND($T103="SUCCESS", $S103 &gt; AVERAGE($S$61:$S$111))</formula>
    </cfRule>
  </conditionalFormatting>
  <conditionalFormatting sqref="L6:R55">
    <cfRule type="expression" dxfId="1" priority="8">
      <formula>AND($M6="SUCCESS", $L6 &gt; AVERAGE($L$6:$L$55))</formula>
    </cfRule>
  </conditionalFormatting>
  <conditionalFormatting sqref="L6:R55">
    <cfRule type="containsText" dxfId="2" priority="9" operator="containsText" text="SUCCESS">
      <formula>NOT(ISERROR(SEARCH(("SUCCESS"),(L6))))</formula>
    </cfRule>
  </conditionalFormatting>
  <conditionalFormatting sqref="E6:K55 N55:Q55 U82">
    <cfRule type="expression" dxfId="0" priority="10">
      <formula>AND($F6="SUCCESS", $E6 &gt; AVERAGE($E$6:$E$55))</formula>
    </cfRule>
  </conditionalFormatting>
  <conditionalFormatting sqref="E6:K55 N55:Q55 U82">
    <cfRule type="containsText" dxfId="2" priority="11" operator="containsText" text="SUCCESS">
      <formula>NOT(ISERROR(SEARCH(("SUCCESS"),(E6))))</formula>
    </cfRule>
  </conditionalFormatting>
  <conditionalFormatting sqref="S6:Y55">
    <cfRule type="expression" dxfId="0" priority="12">
      <formula>AND($T6="SUCCESS", $S6 &gt; AVERAGE($S$6:$S$55))</formula>
    </cfRule>
  </conditionalFormatting>
  <conditionalFormatting sqref="Z6:AF55">
    <cfRule type="expression" dxfId="0" priority="13">
      <formula>AND($AA6="SUCCESS", $Z6 &gt; AVERAGE($Z$6:$Z$55))</formula>
    </cfRule>
  </conditionalFormatting>
  <conditionalFormatting sqref="S6:AF55">
    <cfRule type="containsText" dxfId="2" priority="14" operator="containsText" text="SUCCESS">
      <formula>NOT(ISERROR(SEARCH(("SUCCESS"),(S6))))</formula>
    </cfRule>
  </conditionalFormatting>
  <conditionalFormatting sqref="E62:K111">
    <cfRule type="expression" dxfId="0" priority="15">
      <formula>AND($F62="SUCCESS", $E62 &gt; AVERAGE($E$61:$E$111))</formula>
    </cfRule>
  </conditionalFormatting>
  <conditionalFormatting sqref="L62:R111">
    <cfRule type="expression" dxfId="0" priority="16">
      <formula>AND($M62="SUCCESS", $L62 &gt; AVERAGE($L$61:$L$111))</formula>
    </cfRule>
  </conditionalFormatting>
  <conditionalFormatting sqref="S62:W111 Y62:Y111 X63 AE64:AE70 X71:X72 AE73 X74:X81 X88 X101 X108:X111">
    <cfRule type="expression" dxfId="0" priority="17">
      <formula>AND($T62="SUCCESS", $S62 &gt; AVERAGE($S$61:$S$111))</formula>
    </cfRule>
  </conditionalFormatting>
  <conditionalFormatting sqref="Z62:AD111 AF62:AF111 AE63 AE71:AE72 AE74:AE82 AE88 AE90 AE98 AE105">
    <cfRule type="expression" dxfId="0" priority="18">
      <formula>AND($AA62="SUCCESS", $Z62 &gt; AVERAGE($Z$61:$Z$111))</formula>
    </cfRule>
  </conditionalFormatting>
  <conditionalFormatting sqref="AE60 E62:W111 Y62:AF111 X63:X111">
    <cfRule type="containsText" dxfId="2" priority="19" operator="containsText" text="SUCCESS">
      <formula>NOT(ISERROR(SEARCH(("SUCCESS"),(AE60))))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